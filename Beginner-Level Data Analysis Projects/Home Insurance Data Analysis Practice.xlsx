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Roland Jimmuel\Desktop\"/>
    </mc:Choice>
  </mc:AlternateContent>
  <xr:revisionPtr revIDLastSave="0" documentId="13_ncr:1_{84A8A7A7-63A5-42F9-8B2E-68F1BB31D75A}" xr6:coauthVersionLast="47" xr6:coauthVersionMax="47" xr10:uidLastSave="{00000000-0000-0000-0000-000000000000}"/>
  <bookViews>
    <workbookView xWindow="-120" yWindow="-120" windowWidth="20730" windowHeight="11760" tabRatio="593" activeTab="3" xr2:uid="{00000000-000D-0000-FFFF-FFFF00000000}"/>
  </bookViews>
  <sheets>
    <sheet name="Messy Data" sheetId="6" r:id="rId1"/>
    <sheet name="Cleaned Data" sheetId="7" r:id="rId2"/>
    <sheet name="Summary Tables" sheetId="17" r:id="rId3"/>
    <sheet name="Dashboard" sheetId="25" r:id="rId4"/>
  </sheets>
  <definedNames>
    <definedName name="Slicer_Municipalities">#N/A</definedName>
    <definedName name="Slicer_Policy_Status2">#N/A</definedName>
    <definedName name="Slicer_Policy_Type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0" i="17" l="1"/>
  <c r="P19" i="17"/>
  <c r="P10" i="17"/>
  <c r="P16" i="17"/>
  <c r="P17" i="17"/>
  <c r="P18" i="17"/>
  <c r="P15" i="17"/>
  <c r="P9" i="17"/>
  <c r="P8" i="17"/>
  <c r="P5" i="17"/>
  <c r="P6" i="17"/>
  <c r="P7" i="17"/>
  <c r="P4" i="17"/>
  <c r="P11" i="17" l="1"/>
</calcChain>
</file>

<file path=xl/sharedStrings.xml><?xml version="1.0" encoding="utf-8"?>
<sst xmlns="http://schemas.openxmlformats.org/spreadsheetml/2006/main" count="487" uniqueCount="229">
  <si>
    <t>Yes</t>
  </si>
  <si>
    <t>No</t>
  </si>
  <si>
    <t>Policy ID</t>
  </si>
  <si>
    <t>N/A</t>
  </si>
  <si>
    <t>Policy_ID,Client_Name,Property_Address,City,Province,Zip_Code,Policy_Type,Premium_Amount,Coverage_Amount,Policy_Start,Policy_End,Claim_History,Phone_Number,Email,Agent_Name,Policy_Status</t>
  </si>
  <si>
    <t>H-1001,Juan Dela Cruz,12 Mabini St.,Cainta,Rizal,1900,Home Basic,12500,5000000,01/15/2025,01/15/2026,No,09171234567,juan.delacruz@email.com, Maria Santos ,Active</t>
  </si>
  <si>
    <t>H1002, Ana Reyes,Blk 5 Lot 8 Phase 2,Binangonan,Rizal,1940,home premium,"15,000",7500000,2025-02-10,2026-02-10,YES,+63 917 998 1122,anareyes@gmail.com,Carlos Mendoza,ACTIVE</t>
  </si>
  <si>
    <t>H1003,Mark Villanueva,45 Luna Ave,Taytay,Rizal,1920,HOME BASIC,13200 PHP,5000000,3/1/25,3/1/26,no,917-123-8899,mark_v@yahoo.com,Liza Cruz,active</t>
  </si>
  <si>
    <t>H1004,Bea Ramos,88 Emerald St.,Antipolo,Rizal,1870,Home Plus,14500,6500000,04-20-2025,04-20-2026,N/A,(0918)2234455,bea.ramos@mail,Pedro Santos,Expired</t>
  </si>
  <si>
    <t>H1005,Kevin Lim,27 Sampaguita Rd,Cainta,Rizal,1900A,Home Premium,17500,8500000,2025/05/12,2026/05/12,Yes,09181231234,kevinlim@gmail.com,Rose Aquino,Cancelled</t>
  </si>
  <si>
    <t>H1006,Marie Lopez,102 Riverside,,Rizal,1940,Home Basic,12000,4500000,06/01/2025,06/01/2026,No,09171110000,marie.lopez@email.com,John Reyes,Active</t>
  </si>
  <si>
    <t>H1007,Chris Dizon,17 Sunset Village,Taytay,RIZAL,1920,Home Basic,11,500,5000000,07/14/25,07/14/26,no,09175556666,chrisdizon@@gmail.com,Anne Cruz,ACTIVE</t>
  </si>
  <si>
    <t>H1008,Ella Santos,Lot 9 Greenwoods,Cainta,Rizal,1900,Home premium,16000,7000000,2025-08-01,2026-08-01,yes,9178889999,ella.santos@gmail.com,Maria Santos,Pending</t>
  </si>
  <si>
    <t>H1009,Paolo Cruz,45 Rose St.,Binangonan,Rizal,,Home Plus,14000 pesos,6200000,08/22/2025,08/22/2026,N,09172345678,paolocruz@yahoo.com,Liza Cruz,active</t>
  </si>
  <si>
    <t>H1010,Sarah Go,88 Acacia Ave.,Antipolo,Rizal,1870,Home Plus,15000,6800000,09-01-2025,09-01-2026,Y,63-917-777-1111,sarahgo@gmail.com,Carlos Mendoza,Expired</t>
  </si>
  <si>
    <t>H1011,Rica Flores,Blk 2 Lot 4,Cainta,Rizal,1900,Home Basic,13000,5000000,2025/10/10,2026/10/10,No Claim,09189998888,ricaflores@email.com, Pedro Santos,ACTIVE</t>
  </si>
  <si>
    <t>H1012,John Ramos,44 Mango St.,Taytay,Rizal,1920,Home Plus,14500,6500000,11/11/25,11/11/26,NO,09171239876,john.ramos@gmail.com,Rose Aquino,Cancelled</t>
  </si>
  <si>
    <t>H1013,Lorraine Yu,15 Diamond Village,Antipolo,Rizal,1870,home basic,12 800,4800000,12/01/2025,12/01/2026,Yes,09181239999,lorraineyu@gmailcom,Anne Cruz,Pending</t>
  </si>
  <si>
    <t>H1014, Michael Tan ,21 Pearl Drive,Binangonan,Rizal,1940,Home Premium,18000,9000000,2025-12-15,2026-12-15,no,+639171111222,michaeltan@gmail.com,Maria Santos,active</t>
  </si>
  <si>
    <t>H1015,Nina Perez,77 Jasmine Rd,Cainta,Rizal,1900,Home Plus,14500,6500000,01/05/2025,01/05/2026,No,09176667777,ninaperez@gmail.com,Liza Cruz,Active</t>
  </si>
  <si>
    <t>H1016,Paul Garcia,89 Lakeview,Taytay,Rizal,1920,Home Basic,,5000000,2/14/25,2/14/26,No,09172340000,paul.garcia@email.com,Carlos Mendoza,ACTIVE</t>
  </si>
  <si>
    <t>H1017,Jasmine Co,31 Riverfront,Antipolo,Rizal,18A70,Home Plus,15500,7000000,03/20/2025,03/20/2026,Yes,09171230000,jasmine.co@gmail.com,Rose Aquino,Expired</t>
  </si>
  <si>
    <t>H1018,Ben Torres,102 Hilltop St.,Cainta,Rizal,1900,HOME BASIC,12500,5000000,2025/04/18,2026/04/18,none,09175550000,bentorres@yahoo.com,Anne Cruz,active</t>
  </si>
  <si>
    <t>H1019,Grace Uy,45 Parklane,Binangonan,Rizal,1940,Home Premium,19000,9500000,05-25-2025,05-25-2026,YES!,09179991111,graceuygmail.com,Maria Santos,Cancelled</t>
  </si>
  <si>
    <t>H1020,Leo Mendoza,67 Palm Village,Taytay,Rizal,1920,Home Plus,15000.00,6800000,06/30/2025,06/30/2026,N/A,09178889999,leo.mendoza@gmail.com,Pedro Santos,Pending</t>
  </si>
  <si>
    <t>H1021,Camille Ong,88 Sunrise Ave.,Cainta,Rizal,1900,Home Premium,17500,8500000,07/07/2025,07/07/2026,No,09173334444,camille.ong@gmail.com,Liza Cruz,ACTIVE</t>
  </si>
  <si>
    <t>H1022,Ralph Sy,12 Orchard Rd.,Antipolo,Rizal,1870,Home Basic,12000,4500000,08-15-25,08-15-26,yes,09175557777,ralphsy@yahoo.com,Carlos Mendoza,active</t>
  </si>
  <si>
    <t>H1023,Diane Cruz,34 Evergreen,Taytay,Rizal,1920,Home Plus,P14,500,6500000,09/09/2025,09/09/2026,No,09176661111,diane.cruz@email.com,Rose Aquino,Expired</t>
  </si>
  <si>
    <t>H1024,Victor Lim,90 Garden St.,Cainta,Rizal,1900,Home Premium,20000,10000000,10/10/2025,10/10/2026,NO,09174445555,victorlim@gmail.com,Maria Santos,ACTIVE</t>
  </si>
  <si>
    <t>H1025,Cherry Santos,66 Riverside,Binangonan,Rizal,1940,Home Basic,11800,4700000,11/18/2025,11/18/2026,Y,09178887777,cherry.santos@yahoo,Anne Cruz,Cancelled</t>
  </si>
  <si>
    <t>H1026,Adrian Lee,45 Greenfield,Antipolo,Rizal,1870,Home Plus,15000,6500000,2025/12/20,2026/12/20,N,09170001111,adrianlee@gmail.com,Pedro Santos,Pending</t>
  </si>
  <si>
    <t>H1027,Sophia Tan,101 Mountain View,Cainta,Rizal,1900,Home Premium,18500,9200000,01-25-2025,01-25-2026,No,09179990000,sophiatan@gmail.com,Liza Cruz,active</t>
  </si>
  <si>
    <t>H1028,Jason Co,72 Brookside,Taytay,Rizal,1920,Home Basic,12500,5000000,02/28/2025,02/28/2026,Yes,9173334444,jasonco@gmail.com,Rose Aquino,Expired</t>
  </si>
  <si>
    <t>H1029,Angela Reyes,9 Rosewood Ave.,Antipolo,Rizal,1870,Home Plus,14800,6600000,03/30/2025,03/30/2026,NO,09182223333,angela.reyes@gmail.com,Carlos Mendoza,ACTIVE</t>
  </si>
  <si>
    <t>H1030,Patrick Ong,56 Pinecrest,Binangonan,Rizal,1940,Home Premium,19500,9800000,04/11/2025,04/11/2026,yes,09173332222,patrickong@gmail.com,Maria Santos, cancelled</t>
  </si>
  <si>
    <t>H1031,Liza Ramos,23 Forest Hills,Cainta,Rizal,1900,Home Basic,12200,4900000,05/17/2025,05/17/2026,No,09175558888,lizaramos@email.com,Anne Cruz,Pending</t>
  </si>
  <si>
    <t>H1032,Kevin Sy,78 Ocean View,Taytay,Rizal,1920,Home Plus,15500,7000000,06/06/2025,06/06/2026,No,09179994444,kevinsy@gmail.com,Rose Aquino,ACTIVE</t>
  </si>
  <si>
    <t>H1033,Mica Flores,44 Maple St.,Antipolo,Rizal,1870,Home Basic,11900,4600000,07/13/2025,07/13/2026,none,09176660000,micaflores@gmail.com,Carlos Mendoza,Expired</t>
  </si>
  <si>
    <t>H1034,Dan Cruz,15 Sunset Blvd.,Cainta,Rizal,1900,Home Premium,18200,9100000,08/08/2025,08/08/2026,YES,09172221111,dancruz@gmailcom,Maria Santos,ACTIVE</t>
  </si>
  <si>
    <t>H1035,Ronnie Perez,88 Skyline,Taytay,Rizal,1920,Home Plus,14900,6700000,09/21/2025,09/21/2026,No,09178880000,ronnieperez@yahoo.com,Liza Cruz,Pending</t>
  </si>
  <si>
    <t>Province</t>
  </si>
  <si>
    <t>Email</t>
  </si>
  <si>
    <t>H-1001</t>
  </si>
  <si>
    <t>Juan Dela Cruz</t>
  </si>
  <si>
    <t>12 Mabini St.</t>
  </si>
  <si>
    <t>Cainta</t>
  </si>
  <si>
    <t>Rizal</t>
  </si>
  <si>
    <t>Home Basic</t>
  </si>
  <si>
    <t>Active</t>
  </si>
  <si>
    <t>Blk 5 Lot 8 Phase 2</t>
  </si>
  <si>
    <t>Binangonan</t>
  </si>
  <si>
    <t>+63 917 998 1122</t>
  </si>
  <si>
    <t>anareyes@gmail.com</t>
  </si>
  <si>
    <t>Carlos Mendoza</t>
  </si>
  <si>
    <t>Mark Villanueva</t>
  </si>
  <si>
    <t>45 Luna Ave</t>
  </si>
  <si>
    <t>Taytay</t>
  </si>
  <si>
    <t>Liza Cruz</t>
  </si>
  <si>
    <t>Bea Ramos</t>
  </si>
  <si>
    <t>88 Emerald St.</t>
  </si>
  <si>
    <t>Antipolo</t>
  </si>
  <si>
    <t>Home Plus</t>
  </si>
  <si>
    <t>Pedro Santos</t>
  </si>
  <si>
    <t>Expired</t>
  </si>
  <si>
    <t>Kevin Lim</t>
  </si>
  <si>
    <t>27 Sampaguita Rd</t>
  </si>
  <si>
    <t>Home Premium</t>
  </si>
  <si>
    <t>kevinlim@gmail.com</t>
  </si>
  <si>
    <t>Rose Aquino</t>
  </si>
  <si>
    <t>Cancelled</t>
  </si>
  <si>
    <t>Marie Lopez</t>
  </si>
  <si>
    <t>102 Riverside</t>
  </si>
  <si>
    <t>John Reyes</t>
  </si>
  <si>
    <t>Chris Dizon</t>
  </si>
  <si>
    <t>17 Sunset Village</t>
  </si>
  <si>
    <t>chrisdizon@@gmail.com</t>
  </si>
  <si>
    <t>Anne Cruz</t>
  </si>
  <si>
    <t>Ella Santos</t>
  </si>
  <si>
    <t>Lot 9 Greenwoods</t>
  </si>
  <si>
    <t>Maria Santos</t>
  </si>
  <si>
    <t>Pending</t>
  </si>
  <si>
    <t>Paolo Cruz</t>
  </si>
  <si>
    <t>45 Rose St.</t>
  </si>
  <si>
    <t>paolocruz@yahoo.com</t>
  </si>
  <si>
    <t>Sarah Go</t>
  </si>
  <si>
    <t>88 Acacia Ave.</t>
  </si>
  <si>
    <t>sarahgo@gmail.com</t>
  </si>
  <si>
    <t>Rica Flores</t>
  </si>
  <si>
    <t>Blk 2 Lot 4</t>
  </si>
  <si>
    <t>ricaflores@email.com</t>
  </si>
  <si>
    <t>John Ramos</t>
  </si>
  <si>
    <t>44 Mango St.</t>
  </si>
  <si>
    <t>Lorraine Yu</t>
  </si>
  <si>
    <t>15 Diamond Village</t>
  </si>
  <si>
    <t>21 Pearl Drive</t>
  </si>
  <si>
    <t>michaeltan@gmail.com</t>
  </si>
  <si>
    <t>Nina Perez</t>
  </si>
  <si>
    <t>77 Jasmine Rd</t>
  </si>
  <si>
    <t>ninaperez@gmail.com</t>
  </si>
  <si>
    <t>Paul Garcia</t>
  </si>
  <si>
    <t>89 Lakeview</t>
  </si>
  <si>
    <t>Jasmine Co</t>
  </si>
  <si>
    <t>31 Riverfront</t>
  </si>
  <si>
    <t>Ben Torres</t>
  </si>
  <si>
    <t>102 Hilltop St.</t>
  </si>
  <si>
    <t>bentorres@yahoo.com</t>
  </si>
  <si>
    <t>Grace Uy</t>
  </si>
  <si>
    <t>45 Parklane</t>
  </si>
  <si>
    <t>graceuygmail.com</t>
  </si>
  <si>
    <t>Leo Mendoza</t>
  </si>
  <si>
    <t>67 Palm Village</t>
  </si>
  <si>
    <t>Camille Ong</t>
  </si>
  <si>
    <t>88 Sunrise Ave.</t>
  </si>
  <si>
    <t>Ralph Sy</t>
  </si>
  <si>
    <t>12 Orchard Rd.</t>
  </si>
  <si>
    <t>ralphsy@yahoo.com</t>
  </si>
  <si>
    <t>Diane Cruz</t>
  </si>
  <si>
    <t>34 Evergreen</t>
  </si>
  <si>
    <t>Victor Lim</t>
  </si>
  <si>
    <t>90 Garden St.</t>
  </si>
  <si>
    <t>victorlim@gmail.com</t>
  </si>
  <si>
    <t>Cherry Santos</t>
  </si>
  <si>
    <t>66 Riverside</t>
  </si>
  <si>
    <t>Adrian Lee</t>
  </si>
  <si>
    <t>45 Greenfield</t>
  </si>
  <si>
    <t>adrianlee@gmail.com</t>
  </si>
  <si>
    <t>Sophia Tan</t>
  </si>
  <si>
    <t>101 Mountain View</t>
  </si>
  <si>
    <t>sophiatan@gmail.com</t>
  </si>
  <si>
    <t>Jason Co</t>
  </si>
  <si>
    <t>72 Brookside</t>
  </si>
  <si>
    <t>jasonco@gmail.com</t>
  </si>
  <si>
    <t>Angela Reyes</t>
  </si>
  <si>
    <t>9 Rosewood Ave.</t>
  </si>
  <si>
    <t>Patrick Ong</t>
  </si>
  <si>
    <t>56 Pinecrest</t>
  </si>
  <si>
    <t>patrickong@gmail.com</t>
  </si>
  <si>
    <t>Liza Ramos</t>
  </si>
  <si>
    <t>23 Forest Hills</t>
  </si>
  <si>
    <t>lizaramos@email.com</t>
  </si>
  <si>
    <t>Kevin Sy</t>
  </si>
  <si>
    <t>78 Ocean View</t>
  </si>
  <si>
    <t>kevinsy@gmail.com</t>
  </si>
  <si>
    <t>Mica Flores</t>
  </si>
  <si>
    <t>44 Maple St.</t>
  </si>
  <si>
    <t>micaflores@gmail.com</t>
  </si>
  <si>
    <t>Dan Cruz</t>
  </si>
  <si>
    <t>15 Sunset Blvd.</t>
  </si>
  <si>
    <t>Ronnie Perez</t>
  </si>
  <si>
    <t>88 Skyline</t>
  </si>
  <si>
    <t>ronnieperez@yahoo.com</t>
  </si>
  <si>
    <t>lorraineyu@gmail.com</t>
  </si>
  <si>
    <t>dancruz@gmail.com</t>
  </si>
  <si>
    <t>juandelacruz@email.com</t>
  </si>
  <si>
    <t>markv@yahoo.com</t>
  </si>
  <si>
    <t>bearamos@mail.com</t>
  </si>
  <si>
    <t>marielopez@email.com</t>
  </si>
  <si>
    <t>ellasantos@gmail.com</t>
  </si>
  <si>
    <t>johnramos@gmail.com</t>
  </si>
  <si>
    <t>paulgarcia@email.com</t>
  </si>
  <si>
    <t>jasmineco@gmail.com</t>
  </si>
  <si>
    <t>leomendoza@gmail.com</t>
  </si>
  <si>
    <t>camilleong@gmail.com</t>
  </si>
  <si>
    <t>dianecruz@email.com</t>
  </si>
  <si>
    <t>cherrysantos@yahoo.com</t>
  </si>
  <si>
    <t>angelareyes@gmail.com</t>
  </si>
  <si>
    <t xml:space="preserve">Maria Santos </t>
  </si>
  <si>
    <t>Ana Reyes</t>
  </si>
  <si>
    <t xml:space="preserve">Michael Tan </t>
  </si>
  <si>
    <t>Client Name</t>
  </si>
  <si>
    <t>Property Address</t>
  </si>
  <si>
    <t>Zip Code</t>
  </si>
  <si>
    <t>Policy Type</t>
  </si>
  <si>
    <t>Premium Amount</t>
  </si>
  <si>
    <t>Coverage Amount</t>
  </si>
  <si>
    <t>Policy Start</t>
  </si>
  <si>
    <t>Policy End</t>
  </si>
  <si>
    <t>Claim History</t>
  </si>
  <si>
    <t>Phone Number</t>
  </si>
  <si>
    <t>Agent Name</t>
  </si>
  <si>
    <t>Policy Status</t>
  </si>
  <si>
    <t>Row Labels</t>
  </si>
  <si>
    <t>Grand Total</t>
  </si>
  <si>
    <t>Sum of Premium Amount</t>
  </si>
  <si>
    <t>Sum of Coverage Amount</t>
  </si>
  <si>
    <t>Count of Policy ID</t>
  </si>
  <si>
    <t>H-1002</t>
  </si>
  <si>
    <t>H-1003</t>
  </si>
  <si>
    <t>H-1004</t>
  </si>
  <si>
    <t>H-1005</t>
  </si>
  <si>
    <t>H-1006</t>
  </si>
  <si>
    <t>H-1007</t>
  </si>
  <si>
    <t>H-1008</t>
  </si>
  <si>
    <t>H-1009</t>
  </si>
  <si>
    <t>H-1010</t>
  </si>
  <si>
    <t>H-1011</t>
  </si>
  <si>
    <t>H-1012</t>
  </si>
  <si>
    <t>H-1013</t>
  </si>
  <si>
    <t>H-1014</t>
  </si>
  <si>
    <t>H-1015</t>
  </si>
  <si>
    <t>H-1016</t>
  </si>
  <si>
    <t>H-1017</t>
  </si>
  <si>
    <t>H-1018</t>
  </si>
  <si>
    <t>H-1019</t>
  </si>
  <si>
    <t>H-1020</t>
  </si>
  <si>
    <t>H-1021</t>
  </si>
  <si>
    <t>H-1022</t>
  </si>
  <si>
    <t>H-1023</t>
  </si>
  <si>
    <t>H-1024</t>
  </si>
  <si>
    <t>H-1025</t>
  </si>
  <si>
    <t>H-1026</t>
  </si>
  <si>
    <t>H-1027</t>
  </si>
  <si>
    <t>H-1028</t>
  </si>
  <si>
    <t>H-1029</t>
  </si>
  <si>
    <t>H-1030</t>
  </si>
  <si>
    <t>H-1031</t>
  </si>
  <si>
    <t>H-1032</t>
  </si>
  <si>
    <t>H-1033</t>
  </si>
  <si>
    <t>H-1034</t>
  </si>
  <si>
    <t>H-1035</t>
  </si>
  <si>
    <t>Home Insurance Annual Report</t>
  </si>
  <si>
    <t>Municipalities</t>
  </si>
  <si>
    <t>Agent Names</t>
  </si>
  <si>
    <t>Count of Policy Sold</t>
  </si>
  <si>
    <t>Percentage</t>
  </si>
  <si>
    <t>Policy Retention Rate:</t>
  </si>
  <si>
    <t>Total:</t>
  </si>
  <si>
    <t>Average of Premium Amount</t>
  </si>
  <si>
    <t>Other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</si>
</sst>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6\3\ ###\ ###\ ####"/>
  </numFmts>
  <fonts count="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scheme val="minor"/>
    </font>
    <font>
      <sz val="8"/>
      <name val="Calibri"/>
      <scheme val="minor"/>
    </font>
    <font>
      <b/>
      <sz val="20"/>
      <color theme="0"/>
      <name val="Calibri"/>
      <family val="2"/>
      <scheme val="minor"/>
    </font>
    <font>
      <b/>
      <sz val="11"/>
      <color theme="1"/>
      <name val="Calibri"/>
      <family val="2"/>
      <scheme val="minor"/>
    </font>
  </fonts>
  <fills count="8">
    <fill>
      <patternFill patternType="none"/>
    </fill>
    <fill>
      <patternFill patternType="gray125"/>
    </fill>
    <fill>
      <patternFill patternType="solid">
        <fgColor theme="0" tint="-0.499984740745262"/>
        <bgColor indexed="64"/>
      </patternFill>
    </fill>
    <fill>
      <patternFill patternType="solid">
        <fgColor theme="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theme="7"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38">
    <xf numFmtId="0" fontId="0" fillId="0" borderId="0" xfId="0"/>
    <xf numFmtId="14" fontId="0" fillId="0" borderId="0" xfId="0" applyNumberFormat="1"/>
    <xf numFmtId="0" fontId="3" fillId="0" borderId="0" xfId="0" applyFont="1"/>
    <xf numFmtId="0" fontId="0" fillId="0" borderId="0" xfId="0" applyAlignment="1">
      <alignment horizontal="right"/>
    </xf>
    <xf numFmtId="44" fontId="0" fillId="0" borderId="0" xfId="1" applyFont="1"/>
    <xf numFmtId="14" fontId="2" fillId="0" borderId="0" xfId="0" applyNumberFormat="1" applyFont="1"/>
    <xf numFmtId="164" fontId="0" fillId="0" borderId="0" xfId="0" applyNumberFormat="1" applyAlignment="1">
      <alignment horizontal="right"/>
    </xf>
    <xf numFmtId="0" fontId="2" fillId="0" borderId="0" xfId="0" applyFont="1"/>
    <xf numFmtId="44" fontId="0" fillId="0" borderId="0" xfId="1" applyFont="1" applyAlignment="1">
      <alignment horizontal="right"/>
    </xf>
    <xf numFmtId="0" fontId="0" fillId="0" borderId="1" xfId="0" pivotButton="1" applyBorder="1"/>
    <xf numFmtId="0" fontId="0" fillId="0" borderId="1" xfId="0" applyBorder="1"/>
    <xf numFmtId="0" fontId="0" fillId="0" borderId="1" xfId="0" applyBorder="1" applyAlignment="1">
      <alignment horizontal="left"/>
    </xf>
    <xf numFmtId="44" fontId="0" fillId="0" borderId="1" xfId="0" applyNumberFormat="1" applyBorder="1"/>
    <xf numFmtId="0" fontId="0" fillId="0" borderId="1" xfId="0" applyBorder="1" applyAlignment="1">
      <alignment horizontal="left" indent="1"/>
    </xf>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2" borderId="10" xfId="0" applyFill="1" applyBorder="1"/>
    <xf numFmtId="0" fontId="0" fillId="2" borderId="11" xfId="0" applyFill="1" applyBorder="1"/>
    <xf numFmtId="0" fontId="0" fillId="2" borderId="12" xfId="0" applyFill="1" applyBorder="1"/>
    <xf numFmtId="0" fontId="0" fillId="4" borderId="1" xfId="0" applyFill="1" applyBorder="1" applyAlignment="1">
      <alignment horizontal="left"/>
    </xf>
    <xf numFmtId="0" fontId="0" fillId="2" borderId="0" xfId="0" applyFill="1"/>
    <xf numFmtId="0" fontId="0" fillId="5" borderId="1" xfId="0" applyFill="1" applyBorder="1" applyAlignment="1">
      <alignment horizontal="left"/>
    </xf>
    <xf numFmtId="0" fontId="1" fillId="0" borderId="0" xfId="0" applyFont="1"/>
    <xf numFmtId="0" fontId="7" fillId="6" borderId="1" xfId="0" applyFont="1" applyFill="1" applyBorder="1"/>
    <xf numFmtId="0" fontId="7" fillId="6" borderId="1" xfId="0" applyFont="1" applyFill="1" applyBorder="1" applyAlignment="1">
      <alignment horizontal="right"/>
    </xf>
    <xf numFmtId="0" fontId="0" fillId="7" borderId="1" xfId="0" applyFill="1" applyBorder="1" applyAlignment="1">
      <alignment horizontal="left"/>
    </xf>
    <xf numFmtId="9" fontId="0" fillId="0" borderId="1" xfId="2" applyFont="1" applyBorder="1"/>
    <xf numFmtId="10" fontId="0" fillId="0" borderId="1" xfId="2" applyNumberFormat="1" applyFont="1" applyFill="1" applyBorder="1"/>
    <xf numFmtId="0" fontId="7" fillId="5" borderId="1" xfId="0" applyFont="1" applyFill="1" applyBorder="1" applyAlignment="1">
      <alignment horizontal="left"/>
    </xf>
    <xf numFmtId="0" fontId="7" fillId="5" borderId="1" xfId="0" applyFont="1" applyFill="1" applyBorder="1"/>
    <xf numFmtId="10" fontId="0" fillId="0" borderId="1" xfId="2" applyNumberFormat="1" applyFont="1" applyBorder="1"/>
    <xf numFmtId="0" fontId="0" fillId="4" borderId="1" xfId="0" applyFill="1" applyBorder="1"/>
    <xf numFmtId="0" fontId="6" fillId="3" borderId="2" xfId="0" applyFont="1" applyFill="1" applyBorder="1" applyAlignment="1">
      <alignment horizontal="center"/>
    </xf>
    <xf numFmtId="0" fontId="6" fillId="3" borderId="3" xfId="0" applyFont="1" applyFill="1" applyBorder="1" applyAlignment="1">
      <alignment horizontal="center"/>
    </xf>
    <xf numFmtId="0" fontId="6" fillId="3" borderId="4" xfId="0" applyFont="1" applyFill="1" applyBorder="1" applyAlignment="1">
      <alignment horizontal="center"/>
    </xf>
  </cellXfs>
  <cellStyles count="3">
    <cellStyle name="Currency" xfId="1" builtinId="4"/>
    <cellStyle name="Normal" xfId="0" builtinId="0"/>
    <cellStyle name="Percent" xfId="2" builtinId="5"/>
  </cellStyles>
  <dxfs count="67">
    <dxf>
      <fill>
        <patternFill patternType="solid">
          <bgColor theme="5"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quot;₱&quot;* #,##0.00_-;_-&quot;₱&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ill>
        <patternFill patternType="solid">
          <bgColor theme="7"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quot;₱&quot;* #,##0.00_-;_-&quot;₱&quot;* &quot;-&quot;??_-;_-@_-"/>
    </dxf>
    <dxf>
      <font>
        <b val="0"/>
        <i val="0"/>
        <strike val="0"/>
        <condense val="0"/>
        <extend val="0"/>
        <outline val="0"/>
        <shadow val="0"/>
        <u val="none"/>
        <vertAlign val="baseline"/>
        <sz val="11"/>
        <color theme="1"/>
        <name val="Calibri"/>
        <family val="2"/>
        <scheme val="minor"/>
      </font>
    </dxf>
    <dxf>
      <numFmt numFmtId="164" formatCode="\+\6\3\ ###\ ###\ ####"/>
      <alignment horizontal="right" vertical="bottom" textRotation="0" wrapText="0" indent="0" justifyLastLine="0" shrinkToFit="0" readingOrder="0"/>
    </dxf>
    <dxf>
      <numFmt numFmtId="19" formatCode="dd/mm/yyyy"/>
    </dxf>
    <dxf>
      <numFmt numFmtId="19" formatCode="dd/mm/yyyy"/>
    </dxf>
    <dxf>
      <numFmt numFmtId="19" formatCode="dd/mm/yyyy"/>
    </dxf>
    <dxf>
      <font>
        <b val="0"/>
        <i val="0"/>
        <strike val="0"/>
        <condense val="0"/>
        <extend val="0"/>
        <outline val="0"/>
        <shadow val="0"/>
        <u val="none"/>
        <vertAlign val="baseline"/>
        <sz val="11"/>
        <color theme="1"/>
        <name val="Calibri"/>
        <scheme val="minor"/>
      </font>
    </dxf>
    <dxf>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Insurance Data Analysis Practice.xlsb.xlsx]Summary Tables!PivotTable2</c:name>
    <c:fmtId val="1"/>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Annual Premiums Collected by Municipalities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'Summary Tables'!$I$3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'Summary Tables'!$H$4:$H$8</c:f>
              <c:strCache>
                <c:ptCount val="4"/>
                <c:pt idx="0">
                  <c:v>Antipolo</c:v>
                </c:pt>
                <c:pt idx="1">
                  <c:v>Binangonan</c:v>
                </c:pt>
                <c:pt idx="2">
                  <c:v>Cainta</c:v>
                </c:pt>
                <c:pt idx="3">
                  <c:v>Taytay</c:v>
                </c:pt>
              </c:strCache>
            </c:strRef>
          </c:cat>
          <c:val>
            <c:numRef>
              <c:f>'Summary Tables'!$I$4:$I$8</c:f>
              <c:numCache>
                <c:formatCode>_("₱"* #,##0.00_);_("₱"* \(#,##0.00\);_("₱"* "-"??_);_(@_)</c:formatCode>
                <c:ptCount val="4"/>
                <c:pt idx="0">
                  <c:v>111500</c:v>
                </c:pt>
                <c:pt idx="1">
                  <c:v>109300</c:v>
                </c:pt>
                <c:pt idx="2">
                  <c:v>172400</c:v>
                </c:pt>
                <c:pt idx="3">
                  <c:v>86600</c:v>
                </c:pt>
              </c:numCache>
            </c:numRef>
          </c:val>
          <c:extLst>
            <c:ext xmlns:c16="http://schemas.microsoft.com/office/drawing/2014/chart" uri="{C3380CC4-5D6E-409C-BE32-E72D297353CC}">
              <c16:uniqueId val="{00000000-A95B-4AFA-BCAA-5973E45C34D6}"/>
            </c:ext>
          </c:extLst>
        </c:ser>
        <c:dLbls>
          <c:showLegendKey val="0"/>
          <c:showVal val="0"/>
          <c:showCatName val="0"/>
          <c:showSerName val="0"/>
          <c:showPercent val="0"/>
          <c:showBubbleSize val="0"/>
        </c:dLbls>
        <c:gapWidth val="150"/>
        <c:overlap val="100"/>
        <c:axId val="160010112"/>
        <c:axId val="165183888"/>
      </c:barChart>
      <c:catAx>
        <c:axId val="16001011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65183888"/>
        <c:crosses val="autoZero"/>
        <c:auto val="1"/>
        <c:lblAlgn val="ctr"/>
        <c:lblOffset val="100"/>
        <c:noMultiLvlLbl val="0"/>
      </c:catAx>
      <c:valAx>
        <c:axId val="165183888"/>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001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Insurance Data Analysis Practice.xlsb.xlsx]Summary Tables!PivotTable7</c:name>
    <c:fmtId val="1"/>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Policy Distribution by Municipalities and Type</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'Summary Tables'!$F$3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'Summary Tables'!$E$4:$E$18</c:f>
              <c:multiLvlStrCache>
                <c:ptCount val="10"/>
                <c:lvl>
                  <c:pt idx="0">
                    <c:v>Home Basic</c:v>
                  </c:pt>
                  <c:pt idx="1">
                    <c:v>Home Plus</c:v>
                  </c:pt>
                  <c:pt idx="2">
                    <c:v>Home Basic</c:v>
                  </c:pt>
                  <c:pt idx="3">
                    <c:v>Home Plus</c:v>
                  </c:pt>
                  <c:pt idx="4">
                    <c:v>Home Premium</c:v>
                  </c:pt>
                  <c:pt idx="5">
                    <c:v>Home Basic</c:v>
                  </c:pt>
                  <c:pt idx="6">
                    <c:v>Home Plus</c:v>
                  </c:pt>
                  <c:pt idx="7">
                    <c:v>Home Premium</c:v>
                  </c:pt>
                  <c:pt idx="8">
                    <c:v>Home Basic</c:v>
                  </c:pt>
                  <c:pt idx="9">
                    <c:v>Home Plus</c:v>
                  </c:pt>
                </c:lvl>
                <c:lvl>
                  <c:pt idx="0">
                    <c:v>Antipolo</c:v>
                  </c:pt>
                  <c:pt idx="2">
                    <c:v>Binangonan</c:v>
                  </c:pt>
                  <c:pt idx="5">
                    <c:v>Cainta</c:v>
                  </c:pt>
                  <c:pt idx="8">
                    <c:v>Taytay</c:v>
                  </c:pt>
                </c:lvl>
              </c:multiLvlStrCache>
            </c:multiLvlStrRef>
          </c:cat>
          <c:val>
            <c:numRef>
              <c:f>'Summary Tables'!$F$4:$F$18</c:f>
              <c:numCache>
                <c:formatCode>General</c:formatCode>
                <c:ptCount val="10"/>
                <c:pt idx="0">
                  <c:v>3</c:v>
                </c:pt>
                <c:pt idx="1">
                  <c:v>5</c:v>
                </c:pt>
                <c:pt idx="2">
                  <c:v>2</c:v>
                </c:pt>
                <c:pt idx="3">
                  <c:v>1</c:v>
                </c:pt>
                <c:pt idx="4">
                  <c:v>4</c:v>
                </c:pt>
                <c:pt idx="5">
                  <c:v>4</c:v>
                </c:pt>
                <c:pt idx="6">
                  <c:v>1</c:v>
                </c:pt>
                <c:pt idx="7">
                  <c:v>6</c:v>
                </c:pt>
                <c:pt idx="8">
                  <c:v>4</c:v>
                </c:pt>
                <c:pt idx="9">
                  <c:v>5</c:v>
                </c:pt>
              </c:numCache>
            </c:numRef>
          </c:val>
          <c:extLst>
            <c:ext xmlns:c16="http://schemas.microsoft.com/office/drawing/2014/chart" uri="{C3380CC4-5D6E-409C-BE32-E72D297353CC}">
              <c16:uniqueId val="{00000000-F411-43A0-A6A8-CF97274965FB}"/>
            </c:ext>
          </c:extLst>
        </c:ser>
        <c:dLbls>
          <c:showLegendKey val="0"/>
          <c:showVal val="0"/>
          <c:showCatName val="0"/>
          <c:showSerName val="0"/>
          <c:showPercent val="0"/>
          <c:showBubbleSize val="0"/>
        </c:dLbls>
        <c:gapWidth val="150"/>
        <c:overlap val="100"/>
        <c:axId val="264136624"/>
        <c:axId val="165148368"/>
      </c:barChart>
      <c:catAx>
        <c:axId val="2641366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5148368"/>
        <c:crosses val="autoZero"/>
        <c:auto val="1"/>
        <c:lblAlgn val="ctr"/>
        <c:lblOffset val="100"/>
        <c:noMultiLvlLbl val="0"/>
      </c:catAx>
      <c:valAx>
        <c:axId val="16514836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413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PH"/>
              <a:t>Policies Sold per Agent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bar"/>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'Summary Tables'!$O$4:$O$10</c:f>
              <c:strCache>
                <c:ptCount val="7"/>
                <c:pt idx="0">
                  <c:v>Anne Cruz</c:v>
                </c:pt>
                <c:pt idx="1">
                  <c:v>Carlos Mendoza</c:v>
                </c:pt>
                <c:pt idx="2">
                  <c:v>John Reyes</c:v>
                </c:pt>
                <c:pt idx="3">
                  <c:v>Liza Cruz</c:v>
                </c:pt>
                <c:pt idx="4">
                  <c:v>Maria Santos</c:v>
                </c:pt>
                <c:pt idx="5">
                  <c:v>Pedro Santos</c:v>
                </c:pt>
                <c:pt idx="6">
                  <c:v>Rose Aquino</c:v>
                </c:pt>
              </c:strCache>
            </c:strRef>
          </c:cat>
          <c:val>
            <c:numRef>
              <c:f>'Summary Tables'!$P$4:$P$10</c:f>
              <c:numCache>
                <c:formatCode>General</c:formatCode>
                <c:ptCount val="7"/>
                <c:pt idx="0">
                  <c:v>5</c:v>
                </c:pt>
                <c:pt idx="1">
                  <c:v>6</c:v>
                </c:pt>
                <c:pt idx="2">
                  <c:v>1</c:v>
                </c:pt>
                <c:pt idx="3">
                  <c:v>6</c:v>
                </c:pt>
                <c:pt idx="4">
                  <c:v>7</c:v>
                </c:pt>
                <c:pt idx="5">
                  <c:v>4</c:v>
                </c:pt>
                <c:pt idx="6">
                  <c:v>6</c:v>
                </c:pt>
              </c:numCache>
            </c:numRef>
          </c:val>
          <c:extLst>
            <c:ext xmlns:c16="http://schemas.microsoft.com/office/drawing/2014/chart" uri="{C3380CC4-5D6E-409C-BE32-E72D297353CC}">
              <c16:uniqueId val="{00000000-600F-4595-84CE-404F6A314926}"/>
            </c:ext>
          </c:extLst>
        </c:ser>
        <c:dLbls>
          <c:showLegendKey val="0"/>
          <c:showVal val="0"/>
          <c:showCatName val="0"/>
          <c:showSerName val="0"/>
          <c:showPercent val="0"/>
          <c:showBubbleSize val="0"/>
        </c:dLbls>
        <c:gapWidth val="150"/>
        <c:overlap val="100"/>
        <c:axId val="264052176"/>
        <c:axId val="165142128"/>
      </c:barChart>
      <c:catAx>
        <c:axId val="26405217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5142128"/>
        <c:crosses val="autoZero"/>
        <c:auto val="1"/>
        <c:lblAlgn val="ctr"/>
        <c:lblOffset val="100"/>
        <c:noMultiLvlLbl val="0"/>
      </c:catAx>
      <c:valAx>
        <c:axId val="16514212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405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Insurance Data Analysis Practice.xlsb.xlsx]Summary Tables!PivotTable35</c:name>
    <c:fmtId val="7"/>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PH" sz="1400"/>
              <a:t>Average Premium</a:t>
            </a:r>
            <a:r>
              <a:rPr lang="en-PH" sz="1400" baseline="0"/>
              <a:t> per Policy by Municipalities</a:t>
            </a:r>
            <a:endParaRPr lang="en-PH"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P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 Tables'!$I$23</c:f>
              <c:strCache>
                <c:ptCount val="1"/>
                <c:pt idx="0">
                  <c:v>Average of Premium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'Summary Tables'!$H$24:$H$28</c:f>
              <c:strCache>
                <c:ptCount val="4"/>
                <c:pt idx="0">
                  <c:v>Cainta</c:v>
                </c:pt>
                <c:pt idx="1">
                  <c:v>Binangonan</c:v>
                </c:pt>
                <c:pt idx="2">
                  <c:v>Antipolo</c:v>
                </c:pt>
                <c:pt idx="3">
                  <c:v>Taytay</c:v>
                </c:pt>
              </c:strCache>
            </c:strRef>
          </c:cat>
          <c:val>
            <c:numRef>
              <c:f>'Summary Tables'!$I$24:$I$28</c:f>
              <c:numCache>
                <c:formatCode>_("₱"* #,##0.00_);_("₱"* \(#,##0.00\);_("₱"* "-"??_);_(@_)</c:formatCode>
                <c:ptCount val="4"/>
                <c:pt idx="0">
                  <c:v>15672.727272727272</c:v>
                </c:pt>
                <c:pt idx="1">
                  <c:v>15614.285714285714</c:v>
                </c:pt>
                <c:pt idx="2">
                  <c:v>13937.5</c:v>
                </c:pt>
                <c:pt idx="3">
                  <c:v>10825</c:v>
                </c:pt>
              </c:numCache>
            </c:numRef>
          </c:val>
          <c:extLst>
            <c:ext xmlns:c16="http://schemas.microsoft.com/office/drawing/2014/chart" uri="{C3380CC4-5D6E-409C-BE32-E72D297353CC}">
              <c16:uniqueId val="{00000000-757E-42BA-8D0F-42A331E7944B}"/>
            </c:ext>
          </c:extLst>
        </c:ser>
        <c:dLbls>
          <c:showLegendKey val="0"/>
          <c:showVal val="0"/>
          <c:showCatName val="0"/>
          <c:showSerName val="0"/>
          <c:showPercent val="0"/>
          <c:showBubbleSize val="0"/>
        </c:dLbls>
        <c:gapWidth val="219"/>
        <c:overlap val="-27"/>
        <c:axId val="211753120"/>
        <c:axId val="165181968"/>
      </c:barChart>
      <c:lineChart>
        <c:grouping val="stacked"/>
        <c:varyColors val="0"/>
        <c:ser>
          <c:idx val="1"/>
          <c:order val="1"/>
          <c:tx>
            <c:strRef>
              <c:f>'Summary Tables'!$J$23</c:f>
              <c:strCache>
                <c:ptCount val="1"/>
                <c:pt idx="0">
                  <c:v>Count of Policy ID</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'Summary Tables'!$H$24:$H$28</c:f>
              <c:strCache>
                <c:ptCount val="4"/>
                <c:pt idx="0">
                  <c:v>Cainta</c:v>
                </c:pt>
                <c:pt idx="1">
                  <c:v>Binangonan</c:v>
                </c:pt>
                <c:pt idx="2">
                  <c:v>Antipolo</c:v>
                </c:pt>
                <c:pt idx="3">
                  <c:v>Taytay</c:v>
                </c:pt>
              </c:strCache>
            </c:strRef>
          </c:cat>
          <c:val>
            <c:numRef>
              <c:f>'Summary Tables'!$J$24:$J$28</c:f>
              <c:numCache>
                <c:formatCode>General</c:formatCode>
                <c:ptCount val="4"/>
                <c:pt idx="0">
                  <c:v>11</c:v>
                </c:pt>
                <c:pt idx="1">
                  <c:v>7</c:v>
                </c:pt>
                <c:pt idx="2">
                  <c:v>8</c:v>
                </c:pt>
                <c:pt idx="3">
                  <c:v>9</c:v>
                </c:pt>
              </c:numCache>
            </c:numRef>
          </c:val>
          <c:smooth val="0"/>
          <c:extLst>
            <c:ext xmlns:c16="http://schemas.microsoft.com/office/drawing/2014/chart" uri="{C3380CC4-5D6E-409C-BE32-E72D297353CC}">
              <c16:uniqueId val="{00000001-757E-42BA-8D0F-42A331E7944B}"/>
            </c:ext>
          </c:extLst>
        </c:ser>
        <c:dLbls>
          <c:showLegendKey val="0"/>
          <c:showVal val="0"/>
          <c:showCatName val="0"/>
          <c:showSerName val="0"/>
          <c:showPercent val="0"/>
          <c:showBubbleSize val="0"/>
        </c:dLbls>
        <c:marker val="1"/>
        <c:smooth val="0"/>
        <c:axId val="211761008"/>
        <c:axId val="165183888"/>
      </c:lineChart>
      <c:catAx>
        <c:axId val="21175312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5181968"/>
        <c:crosses val="autoZero"/>
        <c:auto val="1"/>
        <c:lblAlgn val="ctr"/>
        <c:lblOffset val="100"/>
        <c:noMultiLvlLbl val="0"/>
      </c:catAx>
      <c:valAx>
        <c:axId val="165181968"/>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753120"/>
        <c:crosses val="autoZero"/>
        <c:crossBetween val="between"/>
      </c:valAx>
      <c:valAx>
        <c:axId val="16518388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761008"/>
        <c:crosses val="max"/>
        <c:crossBetween val="between"/>
      </c:valAx>
      <c:catAx>
        <c:axId val="211761008"/>
        <c:scaling>
          <c:orientation val="minMax"/>
        </c:scaling>
        <c:delete val="1"/>
        <c:axPos val="b"/>
        <c:numFmt formatCode="General" sourceLinked="1"/>
        <c:majorTickMark val="none"/>
        <c:minorTickMark val="none"/>
        <c:tickLblPos val="nextTo"/>
        <c:crossAx val="1651838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Insurance Data Analysis Practice.xlsb.xlsx]Summary Tables!PivotTable4</c:name>
    <c:fmtId val="1"/>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Policy Status Overview</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'Summary Tables'!$M$14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65-4A6F-919A-EB200E16B0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65-4A6F-919A-EB200E16B0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65-4A6F-919A-EB200E16B0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65-4A6F-919A-EB200E16B04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 Tables'!$L$15:$L$19</c:f>
              <c:strCache>
                <c:ptCount val="4"/>
                <c:pt idx="0">
                  <c:v>Active</c:v>
                </c:pt>
                <c:pt idx="1">
                  <c:v>Cancelled</c:v>
                </c:pt>
                <c:pt idx="2">
                  <c:v>Expired</c:v>
                </c:pt>
                <c:pt idx="3">
                  <c:v>Pending</c:v>
                </c:pt>
              </c:strCache>
            </c:strRef>
          </c:cat>
          <c:val>
            <c:numRef>
              <c:f>'Summary Tables'!$M$15:$M$19</c:f>
              <c:numCache>
                <c:formatCode>General</c:formatCode>
                <c:ptCount val="4"/>
                <c:pt idx="0">
                  <c:v>18</c:v>
                </c:pt>
                <c:pt idx="1">
                  <c:v>5</c:v>
                </c:pt>
                <c:pt idx="2">
                  <c:v>6</c:v>
                </c:pt>
                <c:pt idx="3">
                  <c:v>6</c:v>
                </c:pt>
              </c:numCache>
            </c:numRef>
          </c:val>
          <c:extLst>
            <c:ext xmlns:c16="http://schemas.microsoft.com/office/drawing/2014/chart" uri="{C3380CC4-5D6E-409C-BE32-E72D297353CC}">
              <c16:uniqueId val="{00000008-1E65-4A6F-919A-EB200E16B04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672226618538647"/>
          <c:y val="0.32891677308857181"/>
          <c:w val="0.26962144662852894"/>
          <c:h val="0.433321882486468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2</xdr:row>
      <xdr:rowOff>28576</xdr:rowOff>
    </xdr:from>
    <xdr:to>
      <xdr:col>3</xdr:col>
      <xdr:colOff>666750</xdr:colOff>
      <xdr:row>9</xdr:row>
      <xdr:rowOff>123826</xdr:rowOff>
    </xdr:to>
    <mc:AlternateContent xmlns:mc="http://schemas.openxmlformats.org/markup-compatibility/2006" xmlns:a14="http://schemas.microsoft.com/office/drawing/2010/main">
      <mc:Choice Requires="a14">
        <xdr:graphicFrame macro="">
          <xdr:nvGraphicFramePr>
            <xdr:cNvPr id="2" name="Municipalities">
              <a:extLst>
                <a:ext uri="{FF2B5EF4-FFF2-40B4-BE49-F238E27FC236}">
                  <a16:creationId xmlns:a16="http://schemas.microsoft.com/office/drawing/2014/main" id="{663E6AA1-18E8-B52B-EF60-D771313B49CB}"/>
                </a:ext>
              </a:extLst>
            </xdr:cNvPr>
            <xdr:cNvGraphicFramePr/>
          </xdr:nvGraphicFramePr>
          <xdr:xfrm>
            <a:off x="0" y="0"/>
            <a:ext cx="0" cy="0"/>
          </xdr:xfrm>
          <a:graphic>
            <a:graphicData uri="http://schemas.microsoft.com/office/drawing/2010/slicer">
              <sle:slicer xmlns:sle="http://schemas.microsoft.com/office/drawing/2010/slicer" name="Municipalities"/>
            </a:graphicData>
          </a:graphic>
        </xdr:graphicFrame>
      </mc:Choice>
      <mc:Fallback xmlns="">
        <xdr:sp macro="" textlink="">
          <xdr:nvSpPr>
            <xdr:cNvPr id="0" name=""/>
            <xdr:cNvSpPr>
              <a:spLocks noTextEdit="1"/>
            </xdr:cNvSpPr>
          </xdr:nvSpPr>
          <xdr:spPr>
            <a:xfrm>
              <a:off x="1066800" y="409576"/>
              <a:ext cx="1828800" cy="14287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180975</xdr:colOff>
      <xdr:row>9</xdr:row>
      <xdr:rowOff>161926</xdr:rowOff>
    </xdr:from>
    <xdr:to>
      <xdr:col>3</xdr:col>
      <xdr:colOff>657225</xdr:colOff>
      <xdr:row>15</xdr:row>
      <xdr:rowOff>180976</xdr:rowOff>
    </xdr:to>
    <mc:AlternateContent xmlns:mc="http://schemas.openxmlformats.org/markup-compatibility/2006" xmlns:a14="http://schemas.microsoft.com/office/drawing/2010/main">
      <mc:Choice Requires="a14">
        <xdr:graphicFrame macro="">
          <xdr:nvGraphicFramePr>
            <xdr:cNvPr id="3" name="Policy Type 2">
              <a:extLst>
                <a:ext uri="{FF2B5EF4-FFF2-40B4-BE49-F238E27FC236}">
                  <a16:creationId xmlns:a16="http://schemas.microsoft.com/office/drawing/2014/main" id="{4252AFE4-2D54-A81A-B317-9B278134B463}"/>
                </a:ext>
              </a:extLst>
            </xdr:cNvPr>
            <xdr:cNvGraphicFramePr/>
          </xdr:nvGraphicFramePr>
          <xdr:xfrm>
            <a:off x="0" y="0"/>
            <a:ext cx="0" cy="0"/>
          </xdr:xfrm>
          <a:graphic>
            <a:graphicData uri="http://schemas.microsoft.com/office/drawing/2010/slicer">
              <sle:slicer xmlns:sle="http://schemas.microsoft.com/office/drawing/2010/slicer" name="Policy Type 2"/>
            </a:graphicData>
          </a:graphic>
        </xdr:graphicFrame>
      </mc:Choice>
      <mc:Fallback xmlns="">
        <xdr:sp macro="" textlink="">
          <xdr:nvSpPr>
            <xdr:cNvPr id="0" name=""/>
            <xdr:cNvSpPr>
              <a:spLocks noTextEdit="1"/>
            </xdr:cNvSpPr>
          </xdr:nvSpPr>
          <xdr:spPr>
            <a:xfrm>
              <a:off x="1057275" y="1876426"/>
              <a:ext cx="1828800" cy="11620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171450</xdr:colOff>
      <xdr:row>16</xdr:row>
      <xdr:rowOff>28576</xdr:rowOff>
    </xdr:from>
    <xdr:to>
      <xdr:col>3</xdr:col>
      <xdr:colOff>647700</xdr:colOff>
      <xdr:row>23</xdr:row>
      <xdr:rowOff>142876</xdr:rowOff>
    </xdr:to>
    <mc:AlternateContent xmlns:mc="http://schemas.openxmlformats.org/markup-compatibility/2006" xmlns:a14="http://schemas.microsoft.com/office/drawing/2010/main">
      <mc:Choice Requires="a14">
        <xdr:graphicFrame macro="">
          <xdr:nvGraphicFramePr>
            <xdr:cNvPr id="4" name="Policy Status 3">
              <a:extLst>
                <a:ext uri="{FF2B5EF4-FFF2-40B4-BE49-F238E27FC236}">
                  <a16:creationId xmlns:a16="http://schemas.microsoft.com/office/drawing/2014/main" id="{585FAA89-49F5-D2E8-EB88-7742F326A162}"/>
                </a:ext>
              </a:extLst>
            </xdr:cNvPr>
            <xdr:cNvGraphicFramePr/>
          </xdr:nvGraphicFramePr>
          <xdr:xfrm>
            <a:off x="0" y="0"/>
            <a:ext cx="0" cy="0"/>
          </xdr:xfrm>
          <a:graphic>
            <a:graphicData uri="http://schemas.microsoft.com/office/drawing/2010/slicer">
              <sle:slicer xmlns:sle="http://schemas.microsoft.com/office/drawing/2010/slicer" name="Policy Status 3"/>
            </a:graphicData>
          </a:graphic>
        </xdr:graphicFrame>
      </mc:Choice>
      <mc:Fallback xmlns="">
        <xdr:sp macro="" textlink="">
          <xdr:nvSpPr>
            <xdr:cNvPr id="0" name=""/>
            <xdr:cNvSpPr>
              <a:spLocks noTextEdit="1"/>
            </xdr:cNvSpPr>
          </xdr:nvSpPr>
          <xdr:spPr>
            <a:xfrm>
              <a:off x="1047750" y="3076576"/>
              <a:ext cx="1828800" cy="14478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78441</xdr:colOff>
      <xdr:row>1</xdr:row>
      <xdr:rowOff>100853</xdr:rowOff>
    </xdr:from>
    <xdr:to>
      <xdr:col>2</xdr:col>
      <xdr:colOff>739588</xdr:colOff>
      <xdr:row>26</xdr:row>
      <xdr:rowOff>168089</xdr:rowOff>
    </xdr:to>
    <xdr:sp macro="" textlink="">
      <xdr:nvSpPr>
        <xdr:cNvPr id="39" name="Rectangle: Rounded Corners 38">
          <a:extLst>
            <a:ext uri="{FF2B5EF4-FFF2-40B4-BE49-F238E27FC236}">
              <a16:creationId xmlns:a16="http://schemas.microsoft.com/office/drawing/2014/main" id="{3FF059A8-5C90-699B-F796-DA7B831F5F1D}"/>
            </a:ext>
          </a:extLst>
        </xdr:cNvPr>
        <xdr:cNvSpPr/>
      </xdr:nvSpPr>
      <xdr:spPr>
        <a:xfrm>
          <a:off x="78441" y="448235"/>
          <a:ext cx="2162735" cy="4829736"/>
        </a:xfrm>
        <a:prstGeom prst="roundRect">
          <a:avLst>
            <a:gd name="adj" fmla="val 3195"/>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xdr:col>
      <xdr:colOff>856689</xdr:colOff>
      <xdr:row>1</xdr:row>
      <xdr:rowOff>100692</xdr:rowOff>
    </xdr:from>
    <xdr:to>
      <xdr:col>6</xdr:col>
      <xdr:colOff>395567</xdr:colOff>
      <xdr:row>14</xdr:row>
      <xdr:rowOff>55696</xdr:rowOff>
    </xdr:to>
    <xdr:graphicFrame macro="">
      <xdr:nvGraphicFramePr>
        <xdr:cNvPr id="11" name="Chart 4">
          <a:extLst>
            <a:ext uri="{FF2B5EF4-FFF2-40B4-BE49-F238E27FC236}">
              <a16:creationId xmlns:a16="http://schemas.microsoft.com/office/drawing/2014/main" id="{09DDC03A-DD76-38FE-7E62-F38FC40CB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509586</xdr:colOff>
      <xdr:row>1</xdr:row>
      <xdr:rowOff>104775</xdr:rowOff>
    </xdr:from>
    <xdr:to>
      <xdr:col>14</xdr:col>
      <xdr:colOff>38099</xdr:colOff>
      <xdr:row>14</xdr:row>
      <xdr:rowOff>57150</xdr:rowOff>
    </xdr:to>
    <xdr:graphicFrame macro="">
      <xdr:nvGraphicFramePr>
        <xdr:cNvPr id="15" name="Chart 7">
          <a:extLst>
            <a:ext uri="{FF2B5EF4-FFF2-40B4-BE49-F238E27FC236}">
              <a16:creationId xmlns:a16="http://schemas.microsoft.com/office/drawing/2014/main" id="{06FCCF69-B0A3-B06C-6BA7-3BC86F7F2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504826</xdr:colOff>
      <xdr:row>14</xdr:row>
      <xdr:rowOff>157444</xdr:rowOff>
    </xdr:from>
    <xdr:to>
      <xdr:col>14</xdr:col>
      <xdr:colOff>47626</xdr:colOff>
      <xdr:row>26</xdr:row>
      <xdr:rowOff>139212</xdr:rowOff>
    </xdr:to>
    <xdr:graphicFrame macro="">
      <xdr:nvGraphicFramePr>
        <xdr:cNvPr id="16" name="Chart 10">
          <a:extLst>
            <a:ext uri="{FF2B5EF4-FFF2-40B4-BE49-F238E27FC236}">
              <a16:creationId xmlns:a16="http://schemas.microsoft.com/office/drawing/2014/main" id="{A078844F-4639-DDC2-DFB2-CD14C47C5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846603</xdr:colOff>
      <xdr:row>14</xdr:row>
      <xdr:rowOff>146237</xdr:rowOff>
    </xdr:from>
    <xdr:to>
      <xdr:col>6</xdr:col>
      <xdr:colOff>403411</xdr:colOff>
      <xdr:row>26</xdr:row>
      <xdr:rowOff>145677</xdr:rowOff>
    </xdr:to>
    <xdr:graphicFrame macro="">
      <xdr:nvGraphicFramePr>
        <xdr:cNvPr id="19" name="Chart 13">
          <a:extLst>
            <a:ext uri="{FF2B5EF4-FFF2-40B4-BE49-F238E27FC236}">
              <a16:creationId xmlns:a16="http://schemas.microsoft.com/office/drawing/2014/main" id="{87E9CBF3-9AC2-78DC-4A1E-9A0F2C60EF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201706</xdr:colOff>
      <xdr:row>14</xdr:row>
      <xdr:rowOff>179295</xdr:rowOff>
    </xdr:from>
    <xdr:to>
      <xdr:col>17</xdr:col>
      <xdr:colOff>0</xdr:colOff>
      <xdr:row>19</xdr:row>
      <xdr:rowOff>22412</xdr:rowOff>
    </xdr:to>
    <xdr:sp macro="" textlink="">
      <xdr:nvSpPr>
        <xdr:cNvPr id="20" name="Rectangle: Rounded Corners 19">
          <a:extLst>
            <a:ext uri="{FF2B5EF4-FFF2-40B4-BE49-F238E27FC236}">
              <a16:creationId xmlns:a16="http://schemas.microsoft.com/office/drawing/2014/main" id="{8C797882-BC29-CAE5-BC56-19C6E1628221}"/>
            </a:ext>
          </a:extLst>
        </xdr:cNvPr>
        <xdr:cNvSpPr/>
      </xdr:nvSpPr>
      <xdr:spPr>
        <a:xfrm>
          <a:off x="11609294" y="3003177"/>
          <a:ext cx="1613647" cy="795617"/>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PH" sz="1100"/>
        </a:p>
      </xdr:txBody>
    </xdr:sp>
    <xdr:clientData/>
  </xdr:twoCellAnchor>
  <xdr:twoCellAnchor>
    <xdr:from>
      <xdr:col>17</xdr:col>
      <xdr:colOff>85166</xdr:colOff>
      <xdr:row>14</xdr:row>
      <xdr:rowOff>174812</xdr:rowOff>
    </xdr:from>
    <xdr:to>
      <xdr:col>19</xdr:col>
      <xdr:colOff>313765</xdr:colOff>
      <xdr:row>19</xdr:row>
      <xdr:rowOff>44823</xdr:rowOff>
    </xdr:to>
    <xdr:sp macro="" textlink="">
      <xdr:nvSpPr>
        <xdr:cNvPr id="21" name="Rectangle: Rounded Corners 20">
          <a:extLst>
            <a:ext uri="{FF2B5EF4-FFF2-40B4-BE49-F238E27FC236}">
              <a16:creationId xmlns:a16="http://schemas.microsoft.com/office/drawing/2014/main" id="{486AE8CD-42B3-4B73-AD67-DEC52D1127CC}"/>
            </a:ext>
          </a:extLst>
        </xdr:cNvPr>
        <xdr:cNvSpPr/>
      </xdr:nvSpPr>
      <xdr:spPr>
        <a:xfrm>
          <a:off x="13308107" y="2998694"/>
          <a:ext cx="1438834" cy="822511"/>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PH" sz="1100"/>
        </a:p>
      </xdr:txBody>
    </xdr:sp>
    <xdr:clientData/>
  </xdr:twoCellAnchor>
  <xdr:oneCellAnchor>
    <xdr:from>
      <xdr:col>17</xdr:col>
      <xdr:colOff>89647</xdr:colOff>
      <xdr:row>15</xdr:row>
      <xdr:rowOff>11207</xdr:rowOff>
    </xdr:from>
    <xdr:ext cx="1602442" cy="336177"/>
    <xdr:sp macro="" textlink="">
      <xdr:nvSpPr>
        <xdr:cNvPr id="22" name="TextBox 21">
          <a:extLst>
            <a:ext uri="{FF2B5EF4-FFF2-40B4-BE49-F238E27FC236}">
              <a16:creationId xmlns:a16="http://schemas.microsoft.com/office/drawing/2014/main" id="{057A831A-594C-4BEF-C7E1-A3C352A1B624}"/>
            </a:ext>
          </a:extLst>
        </xdr:cNvPr>
        <xdr:cNvSpPr txBox="1"/>
      </xdr:nvSpPr>
      <xdr:spPr>
        <a:xfrm>
          <a:off x="13312588" y="3025589"/>
          <a:ext cx="1602442" cy="336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600" b="1"/>
            <a:t>Retention</a:t>
          </a:r>
          <a:r>
            <a:rPr lang="en-PH" sz="1600" b="1" baseline="0"/>
            <a:t> Rate</a:t>
          </a:r>
          <a:endParaRPr lang="en-PH" sz="1600" b="1"/>
        </a:p>
      </xdr:txBody>
    </xdr:sp>
    <xdr:clientData/>
  </xdr:oneCellAnchor>
  <xdr:oneCellAnchor>
    <xdr:from>
      <xdr:col>14</xdr:col>
      <xdr:colOff>242046</xdr:colOff>
      <xdr:row>15</xdr:row>
      <xdr:rowOff>6724</xdr:rowOff>
    </xdr:from>
    <xdr:ext cx="1629336" cy="336177"/>
    <xdr:sp macro="" textlink="">
      <xdr:nvSpPr>
        <xdr:cNvPr id="23" name="TextBox 22">
          <a:extLst>
            <a:ext uri="{FF2B5EF4-FFF2-40B4-BE49-F238E27FC236}">
              <a16:creationId xmlns:a16="http://schemas.microsoft.com/office/drawing/2014/main" id="{2134160D-1A26-49D1-B1AE-A01D49173C41}"/>
            </a:ext>
          </a:extLst>
        </xdr:cNvPr>
        <xdr:cNvSpPr txBox="1"/>
      </xdr:nvSpPr>
      <xdr:spPr>
        <a:xfrm>
          <a:off x="11649634" y="3021106"/>
          <a:ext cx="1629336" cy="336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600" b="1"/>
            <a:t>Total of</a:t>
          </a:r>
          <a:r>
            <a:rPr lang="en-PH" sz="1600" b="1" baseline="0"/>
            <a:t> Policies</a:t>
          </a:r>
          <a:endParaRPr lang="en-PH" sz="1600" b="1"/>
        </a:p>
      </xdr:txBody>
    </xdr:sp>
    <xdr:clientData/>
  </xdr:oneCellAnchor>
  <xdr:oneCellAnchor>
    <xdr:from>
      <xdr:col>15</xdr:col>
      <xdr:colOff>114302</xdr:colOff>
      <xdr:row>16</xdr:row>
      <xdr:rowOff>24653</xdr:rowOff>
    </xdr:from>
    <xdr:ext cx="703728" cy="591671"/>
    <xdr:sp macro="" textlink="">
      <xdr:nvSpPr>
        <xdr:cNvPr id="24" name="TextBox 23">
          <a:extLst>
            <a:ext uri="{FF2B5EF4-FFF2-40B4-BE49-F238E27FC236}">
              <a16:creationId xmlns:a16="http://schemas.microsoft.com/office/drawing/2014/main" id="{454EDE67-548C-41F2-9287-A0E3ED7B0CAA}"/>
            </a:ext>
          </a:extLst>
        </xdr:cNvPr>
        <xdr:cNvSpPr txBox="1"/>
      </xdr:nvSpPr>
      <xdr:spPr>
        <a:xfrm>
          <a:off x="12127008" y="3229535"/>
          <a:ext cx="703728" cy="5916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3200" b="1"/>
            <a:t>35</a:t>
          </a:r>
        </a:p>
      </xdr:txBody>
    </xdr:sp>
    <xdr:clientData/>
  </xdr:oneCellAnchor>
  <xdr:oneCellAnchor>
    <xdr:from>
      <xdr:col>17</xdr:col>
      <xdr:colOff>302559</xdr:colOff>
      <xdr:row>16</xdr:row>
      <xdr:rowOff>87406</xdr:rowOff>
    </xdr:from>
    <xdr:ext cx="1199029" cy="591671"/>
    <xdr:sp macro="" textlink="">
      <xdr:nvSpPr>
        <xdr:cNvPr id="27" name="TextBox 26">
          <a:extLst>
            <a:ext uri="{FF2B5EF4-FFF2-40B4-BE49-F238E27FC236}">
              <a16:creationId xmlns:a16="http://schemas.microsoft.com/office/drawing/2014/main" id="{CF479325-51D5-4AA9-BDCF-0EE85BEA3174}"/>
            </a:ext>
          </a:extLst>
        </xdr:cNvPr>
        <xdr:cNvSpPr txBox="1"/>
      </xdr:nvSpPr>
      <xdr:spPr>
        <a:xfrm>
          <a:off x="13525500" y="3292288"/>
          <a:ext cx="1199029" cy="5916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2400" b="1"/>
            <a:t>51.43%</a:t>
          </a:r>
        </a:p>
      </xdr:txBody>
    </xdr:sp>
    <xdr:clientData/>
  </xdr:oneCellAnchor>
  <xdr:twoCellAnchor>
    <xdr:from>
      <xdr:col>14</xdr:col>
      <xdr:colOff>201706</xdr:colOff>
      <xdr:row>19</xdr:row>
      <xdr:rowOff>152402</xdr:rowOff>
    </xdr:from>
    <xdr:to>
      <xdr:col>19</xdr:col>
      <xdr:colOff>324971</xdr:colOff>
      <xdr:row>22</xdr:row>
      <xdr:rowOff>182218</xdr:rowOff>
    </xdr:to>
    <xdr:sp macro="" textlink="">
      <xdr:nvSpPr>
        <xdr:cNvPr id="28" name="Rectangle: Rounded Corners 27">
          <a:extLst>
            <a:ext uri="{FF2B5EF4-FFF2-40B4-BE49-F238E27FC236}">
              <a16:creationId xmlns:a16="http://schemas.microsoft.com/office/drawing/2014/main" id="{27CD5905-1BD5-42F4-974C-D755DFCE3748}"/>
            </a:ext>
          </a:extLst>
        </xdr:cNvPr>
        <xdr:cNvSpPr/>
      </xdr:nvSpPr>
      <xdr:spPr>
        <a:xfrm>
          <a:off x="11681402" y="3920989"/>
          <a:ext cx="3187830" cy="601316"/>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PH" sz="1100"/>
        </a:p>
      </xdr:txBody>
    </xdr:sp>
    <xdr:clientData/>
  </xdr:twoCellAnchor>
  <xdr:oneCellAnchor>
    <xdr:from>
      <xdr:col>14</xdr:col>
      <xdr:colOff>268258</xdr:colOff>
      <xdr:row>19</xdr:row>
      <xdr:rowOff>148404</xdr:rowOff>
    </xdr:from>
    <xdr:ext cx="2858183" cy="336177"/>
    <xdr:sp macro="" textlink="">
      <xdr:nvSpPr>
        <xdr:cNvPr id="29" name="TextBox 28">
          <a:extLst>
            <a:ext uri="{FF2B5EF4-FFF2-40B4-BE49-F238E27FC236}">
              <a16:creationId xmlns:a16="http://schemas.microsoft.com/office/drawing/2014/main" id="{C154FB62-0136-4688-91E6-356DC61A83A6}"/>
            </a:ext>
          </a:extLst>
        </xdr:cNvPr>
        <xdr:cNvSpPr txBox="1"/>
      </xdr:nvSpPr>
      <xdr:spPr>
        <a:xfrm>
          <a:off x="11675846" y="3924786"/>
          <a:ext cx="2858183" cy="336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600" b="1"/>
            <a:t>Total</a:t>
          </a:r>
          <a:r>
            <a:rPr lang="en-PH" sz="1600" b="1" baseline="0"/>
            <a:t> Active Annual Premium</a:t>
          </a:r>
          <a:endParaRPr lang="en-PH" sz="1600" b="1"/>
        </a:p>
      </xdr:txBody>
    </xdr:sp>
    <xdr:clientData/>
  </xdr:oneCellAnchor>
  <xdr:oneCellAnchor>
    <xdr:from>
      <xdr:col>14</xdr:col>
      <xdr:colOff>346892</xdr:colOff>
      <xdr:row>21</xdr:row>
      <xdr:rowOff>38198</xdr:rowOff>
    </xdr:from>
    <xdr:ext cx="1872843" cy="359367"/>
    <xdr:sp macro="" textlink="">
      <xdr:nvSpPr>
        <xdr:cNvPr id="31" name="TextBox 30">
          <a:extLst>
            <a:ext uri="{FF2B5EF4-FFF2-40B4-BE49-F238E27FC236}">
              <a16:creationId xmlns:a16="http://schemas.microsoft.com/office/drawing/2014/main" id="{478007B0-E42E-425D-B285-0231E2BD7915}"/>
            </a:ext>
          </a:extLst>
        </xdr:cNvPr>
        <xdr:cNvSpPr txBox="1"/>
      </xdr:nvSpPr>
      <xdr:spPr>
        <a:xfrm>
          <a:off x="11826588" y="4187785"/>
          <a:ext cx="1872843" cy="359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600" b="1" i="0" u="none" strike="noStrike">
              <a:solidFill>
                <a:schemeClr val="tx1"/>
              </a:solidFill>
              <a:effectLst/>
              <a:latin typeface="+mn-lt"/>
              <a:ea typeface="+mn-ea"/>
              <a:cs typeface="+mn-cs"/>
            </a:rPr>
            <a:t> ₱241,700.00 </a:t>
          </a:r>
          <a:endParaRPr lang="en-PH" sz="4800" b="1"/>
        </a:p>
      </xdr:txBody>
    </xdr:sp>
    <xdr:clientData/>
  </xdr:oneCellAnchor>
  <xdr:twoCellAnchor>
    <xdr:from>
      <xdr:col>14</xdr:col>
      <xdr:colOff>188453</xdr:colOff>
      <xdr:row>23</xdr:row>
      <xdr:rowOff>81172</xdr:rowOff>
    </xdr:from>
    <xdr:to>
      <xdr:col>19</xdr:col>
      <xdr:colOff>311718</xdr:colOff>
      <xdr:row>26</xdr:row>
      <xdr:rowOff>110988</xdr:rowOff>
    </xdr:to>
    <xdr:sp macro="" textlink="">
      <xdr:nvSpPr>
        <xdr:cNvPr id="32" name="Rectangle: Rounded Corners 31">
          <a:extLst>
            <a:ext uri="{FF2B5EF4-FFF2-40B4-BE49-F238E27FC236}">
              <a16:creationId xmlns:a16="http://schemas.microsoft.com/office/drawing/2014/main" id="{456546BF-3094-4393-8FB2-36C0A81756B8}"/>
            </a:ext>
          </a:extLst>
        </xdr:cNvPr>
        <xdr:cNvSpPr/>
      </xdr:nvSpPr>
      <xdr:spPr>
        <a:xfrm>
          <a:off x="11668149" y="4611759"/>
          <a:ext cx="3187830" cy="601316"/>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PH" sz="1100"/>
        </a:p>
      </xdr:txBody>
    </xdr:sp>
    <xdr:clientData/>
  </xdr:twoCellAnchor>
  <xdr:oneCellAnchor>
    <xdr:from>
      <xdr:col>14</xdr:col>
      <xdr:colOff>269619</xdr:colOff>
      <xdr:row>23</xdr:row>
      <xdr:rowOff>73764</xdr:rowOff>
    </xdr:from>
    <xdr:ext cx="2980087" cy="336177"/>
    <xdr:sp macro="" textlink="">
      <xdr:nvSpPr>
        <xdr:cNvPr id="30" name="TextBox 29">
          <a:extLst>
            <a:ext uri="{FF2B5EF4-FFF2-40B4-BE49-F238E27FC236}">
              <a16:creationId xmlns:a16="http://schemas.microsoft.com/office/drawing/2014/main" id="{7F5BF7CD-DE99-4C15-B117-81281B25B422}"/>
            </a:ext>
          </a:extLst>
        </xdr:cNvPr>
        <xdr:cNvSpPr txBox="1"/>
      </xdr:nvSpPr>
      <xdr:spPr>
        <a:xfrm>
          <a:off x="11677207" y="4612146"/>
          <a:ext cx="2980087" cy="336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600" b="1"/>
            <a:t>Total Active Coverage</a:t>
          </a:r>
          <a:r>
            <a:rPr lang="en-PH" sz="1600" b="1" baseline="0"/>
            <a:t> Amount</a:t>
          </a:r>
          <a:endParaRPr lang="en-PH" sz="1600" b="1"/>
        </a:p>
      </xdr:txBody>
    </xdr:sp>
    <xdr:clientData/>
  </xdr:oneCellAnchor>
  <xdr:oneCellAnchor>
    <xdr:from>
      <xdr:col>14</xdr:col>
      <xdr:colOff>341923</xdr:colOff>
      <xdr:row>24</xdr:row>
      <xdr:rowOff>157468</xdr:rowOff>
    </xdr:from>
    <xdr:ext cx="1872843" cy="359367"/>
    <xdr:sp macro="" textlink="">
      <xdr:nvSpPr>
        <xdr:cNvPr id="33" name="TextBox 32">
          <a:extLst>
            <a:ext uri="{FF2B5EF4-FFF2-40B4-BE49-F238E27FC236}">
              <a16:creationId xmlns:a16="http://schemas.microsoft.com/office/drawing/2014/main" id="{A347F9E8-1D40-45EA-A342-910F5FD917D7}"/>
            </a:ext>
          </a:extLst>
        </xdr:cNvPr>
        <xdr:cNvSpPr txBox="1"/>
      </xdr:nvSpPr>
      <xdr:spPr>
        <a:xfrm>
          <a:off x="11821619" y="4878555"/>
          <a:ext cx="1872843" cy="359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600" b="1" i="0" u="none" strike="noStrike">
              <a:solidFill>
                <a:schemeClr val="tx1"/>
              </a:solidFill>
              <a:effectLst/>
              <a:latin typeface="+mn-lt"/>
              <a:ea typeface="+mn-ea"/>
              <a:cs typeface="+mn-cs"/>
            </a:rPr>
            <a:t> ₱118,600,000.00 </a:t>
          </a:r>
          <a:endParaRPr lang="en-PH" sz="1600" b="1"/>
        </a:p>
      </xdr:txBody>
    </xdr:sp>
    <xdr:clientData/>
  </xdr:oneCellAnchor>
  <xdr:twoCellAnchor editAs="oneCell">
    <xdr:from>
      <xdr:col>0</xdr:col>
      <xdr:colOff>251010</xdr:colOff>
      <xdr:row>3</xdr:row>
      <xdr:rowOff>108699</xdr:rowOff>
    </xdr:from>
    <xdr:to>
      <xdr:col>2</xdr:col>
      <xdr:colOff>578222</xdr:colOff>
      <xdr:row>11</xdr:row>
      <xdr:rowOff>67236</xdr:rowOff>
    </xdr:to>
    <mc:AlternateContent xmlns:mc="http://schemas.openxmlformats.org/markup-compatibility/2006" xmlns:a14="http://schemas.microsoft.com/office/drawing/2010/main">
      <mc:Choice Requires="a14">
        <xdr:graphicFrame macro="">
          <xdr:nvGraphicFramePr>
            <xdr:cNvPr id="34" name="Municipalities 1">
              <a:extLst>
                <a:ext uri="{FF2B5EF4-FFF2-40B4-BE49-F238E27FC236}">
                  <a16:creationId xmlns:a16="http://schemas.microsoft.com/office/drawing/2014/main" id="{242ECB7A-8D53-26D8-BD5D-12FBD75C15F2}"/>
                </a:ext>
              </a:extLst>
            </xdr:cNvPr>
            <xdr:cNvGraphicFramePr/>
          </xdr:nvGraphicFramePr>
          <xdr:xfrm>
            <a:off x="0" y="0"/>
            <a:ext cx="0" cy="0"/>
          </xdr:xfrm>
          <a:graphic>
            <a:graphicData uri="http://schemas.microsoft.com/office/drawing/2010/slicer">
              <sle:slicer xmlns:sle="http://schemas.microsoft.com/office/drawing/2010/slicer" name="Municipalities 1"/>
            </a:graphicData>
          </a:graphic>
        </xdr:graphicFrame>
      </mc:Choice>
      <mc:Fallback xmlns="">
        <xdr:sp macro="" textlink="">
          <xdr:nvSpPr>
            <xdr:cNvPr id="0" name=""/>
            <xdr:cNvSpPr>
              <a:spLocks noTextEdit="1"/>
            </xdr:cNvSpPr>
          </xdr:nvSpPr>
          <xdr:spPr>
            <a:xfrm>
              <a:off x="251010" y="837081"/>
              <a:ext cx="1828800" cy="148253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245407</xdr:colOff>
      <xdr:row>11</xdr:row>
      <xdr:rowOff>147919</xdr:rowOff>
    </xdr:from>
    <xdr:to>
      <xdr:col>2</xdr:col>
      <xdr:colOff>572619</xdr:colOff>
      <xdr:row>18</xdr:row>
      <xdr:rowOff>11207</xdr:rowOff>
    </xdr:to>
    <mc:AlternateContent xmlns:mc="http://schemas.openxmlformats.org/markup-compatibility/2006" xmlns:a14="http://schemas.microsoft.com/office/drawing/2010/main">
      <mc:Choice Requires="a14">
        <xdr:graphicFrame macro="">
          <xdr:nvGraphicFramePr>
            <xdr:cNvPr id="35" name="Policy Type">
              <a:extLst>
                <a:ext uri="{FF2B5EF4-FFF2-40B4-BE49-F238E27FC236}">
                  <a16:creationId xmlns:a16="http://schemas.microsoft.com/office/drawing/2014/main" id="{2C2EF9BE-26ED-E6EF-B4C9-5F5C459DB6B1}"/>
                </a:ext>
              </a:extLst>
            </xdr:cNvPr>
            <xdr:cNvGraphicFramePr/>
          </xdr:nvGraphicFramePr>
          <xdr:xfrm>
            <a:off x="0" y="0"/>
            <a:ext cx="0" cy="0"/>
          </xdr:xfrm>
          <a:graphic>
            <a:graphicData uri="http://schemas.microsoft.com/office/drawing/2010/slicer">
              <sle:slicer xmlns:sle="http://schemas.microsoft.com/office/drawing/2010/slicer" name="Policy Type"/>
            </a:graphicData>
          </a:graphic>
        </xdr:graphicFrame>
      </mc:Choice>
      <mc:Fallback xmlns="">
        <xdr:sp macro="" textlink="">
          <xdr:nvSpPr>
            <xdr:cNvPr id="0" name=""/>
            <xdr:cNvSpPr>
              <a:spLocks noTextEdit="1"/>
            </xdr:cNvSpPr>
          </xdr:nvSpPr>
          <xdr:spPr>
            <a:xfrm>
              <a:off x="245407" y="2400301"/>
              <a:ext cx="1828800" cy="119678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251012</xdr:colOff>
      <xdr:row>18</xdr:row>
      <xdr:rowOff>75081</xdr:rowOff>
    </xdr:from>
    <xdr:to>
      <xdr:col>2</xdr:col>
      <xdr:colOff>578224</xdr:colOff>
      <xdr:row>26</xdr:row>
      <xdr:rowOff>33619</xdr:rowOff>
    </xdr:to>
    <mc:AlternateContent xmlns:mc="http://schemas.openxmlformats.org/markup-compatibility/2006" xmlns:a14="http://schemas.microsoft.com/office/drawing/2010/main">
      <mc:Choice Requires="a14">
        <xdr:graphicFrame macro="">
          <xdr:nvGraphicFramePr>
            <xdr:cNvPr id="36" name="Policy Status">
              <a:extLst>
                <a:ext uri="{FF2B5EF4-FFF2-40B4-BE49-F238E27FC236}">
                  <a16:creationId xmlns:a16="http://schemas.microsoft.com/office/drawing/2014/main" id="{9C03C1DC-C259-D3D8-C670-5BD58F438C65}"/>
                </a:ext>
              </a:extLst>
            </xdr:cNvPr>
            <xdr:cNvGraphicFramePr/>
          </xdr:nvGraphicFramePr>
          <xdr:xfrm>
            <a:off x="0" y="0"/>
            <a:ext cx="0" cy="0"/>
          </xdr:xfrm>
          <a:graphic>
            <a:graphicData uri="http://schemas.microsoft.com/office/drawing/2010/slicer">
              <sle:slicer xmlns:sle="http://schemas.microsoft.com/office/drawing/2010/slicer" name="Policy Status"/>
            </a:graphicData>
          </a:graphic>
        </xdr:graphicFrame>
      </mc:Choice>
      <mc:Fallback xmlns="">
        <xdr:sp macro="" textlink="">
          <xdr:nvSpPr>
            <xdr:cNvPr id="0" name=""/>
            <xdr:cNvSpPr>
              <a:spLocks noTextEdit="1"/>
            </xdr:cNvSpPr>
          </xdr:nvSpPr>
          <xdr:spPr>
            <a:xfrm>
              <a:off x="251012" y="3660963"/>
              <a:ext cx="1828800" cy="148253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95810</xdr:colOff>
      <xdr:row>1</xdr:row>
      <xdr:rowOff>101413</xdr:rowOff>
    </xdr:from>
    <xdr:to>
      <xdr:col>19</xdr:col>
      <xdr:colOff>291353</xdr:colOff>
      <xdr:row>14</xdr:row>
      <xdr:rowOff>67236</xdr:rowOff>
    </xdr:to>
    <xdr:graphicFrame macro="">
      <xdr:nvGraphicFramePr>
        <xdr:cNvPr id="37" name="Chart 16">
          <a:extLst>
            <a:ext uri="{FF2B5EF4-FFF2-40B4-BE49-F238E27FC236}">
              <a16:creationId xmlns:a16="http://schemas.microsoft.com/office/drawing/2014/main" id="{0E92F3CB-87D3-A5BC-65C7-20D8E9DDEA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118100</xdr:colOff>
      <xdr:row>1</xdr:row>
      <xdr:rowOff>132717</xdr:rowOff>
    </xdr:from>
    <xdr:ext cx="1148165" cy="304314"/>
    <xdr:sp macro="" textlink="">
      <xdr:nvSpPr>
        <xdr:cNvPr id="40" name="TextBox 39">
          <a:extLst>
            <a:ext uri="{FF2B5EF4-FFF2-40B4-BE49-F238E27FC236}">
              <a16:creationId xmlns:a16="http://schemas.microsoft.com/office/drawing/2014/main" id="{4BAE41B3-4FA6-457F-98D1-37F5932FD77A}"/>
            </a:ext>
          </a:extLst>
        </xdr:cNvPr>
        <xdr:cNvSpPr txBox="1"/>
      </xdr:nvSpPr>
      <xdr:spPr>
        <a:xfrm>
          <a:off x="118100" y="480099"/>
          <a:ext cx="1148165" cy="304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400" b="1"/>
            <a:t>Filter Panel</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land Jimmuel" refreshedDate="46214.690262731485" createdVersion="8" refreshedVersion="8" minRefreshableVersion="3" recordCount="35" xr:uid="{272AF8A4-80B2-450D-830D-94259174C960}">
  <cacheSource type="worksheet">
    <worksheetSource name="Table2"/>
  </cacheSource>
  <cacheFields count="16">
    <cacheField name="Policy ID" numFmtId="0">
      <sharedItems count="35">
        <s v="H-1001"/>
        <s v="H-1002"/>
        <s v="H-1003"/>
        <s v="H-1004"/>
        <s v="H-1005"/>
        <s v="H-1006"/>
        <s v="H-1007"/>
        <s v="H-1008"/>
        <s v="H-1009"/>
        <s v="H-1010"/>
        <s v="H-1011"/>
        <s v="H-1012"/>
        <s v="H-1013"/>
        <s v="H-1014"/>
        <s v="H-1015"/>
        <s v="H-1016"/>
        <s v="H-1017"/>
        <s v="H-1018"/>
        <s v="H-1019"/>
        <s v="H-1020"/>
        <s v="H-1021"/>
        <s v="H-1022"/>
        <s v="H-1023"/>
        <s v="H-1024"/>
        <s v="H-1025"/>
        <s v="H-1026"/>
        <s v="H-1027"/>
        <s v="H-1028"/>
        <s v="H-1029"/>
        <s v="H-1030"/>
        <s v="H-1031"/>
        <s v="H-1032"/>
        <s v="H-1033"/>
        <s v="H-1034"/>
        <s v="H-1035"/>
      </sharedItems>
    </cacheField>
    <cacheField name="Client Name" numFmtId="0">
      <sharedItems/>
    </cacheField>
    <cacheField name="Property Address" numFmtId="0">
      <sharedItems/>
    </cacheField>
    <cacheField name="Municipalities" numFmtId="0">
      <sharedItems count="4">
        <s v="Cainta"/>
        <s v="Binangonan"/>
        <s v="Taytay"/>
        <s v="Antipolo"/>
      </sharedItems>
    </cacheField>
    <cacheField name="Province" numFmtId="0">
      <sharedItems/>
    </cacheField>
    <cacheField name="Zip Code" numFmtId="0">
      <sharedItems containsSemiMixedTypes="0" containsString="0" containsNumber="1" containsInteger="1" minValue="1870" maxValue="1940"/>
    </cacheField>
    <cacheField name="Policy Type" numFmtId="0">
      <sharedItems count="3">
        <s v="Home Basic"/>
        <s v="Home Premium"/>
        <s v="Home Plus"/>
      </sharedItems>
    </cacheField>
    <cacheField name="Premium Amount" numFmtId="44">
      <sharedItems containsMixedTypes="1" containsNumber="1" containsInteger="1" minValue="500" maxValue="20000" count="24">
        <n v="12500"/>
        <n v="15000"/>
        <n v="13200"/>
        <n v="14500"/>
        <n v="17500"/>
        <n v="12000"/>
        <n v="500"/>
        <n v="16000"/>
        <n v="14000"/>
        <n v="13000"/>
        <n v="12800"/>
        <n v="18000"/>
        <s v="N/A"/>
        <n v="15500"/>
        <n v="19000"/>
        <n v="20000"/>
        <n v="11800"/>
        <n v="18500"/>
        <n v="14800"/>
        <n v="19500"/>
        <n v="12200"/>
        <n v="11900"/>
        <n v="18200"/>
        <n v="14900"/>
      </sharedItems>
    </cacheField>
    <cacheField name="Coverage Amount" numFmtId="44">
      <sharedItems containsSemiMixedTypes="0" containsString="0" containsNumber="1" containsInteger="1" minValue="4500000" maxValue="10000000"/>
    </cacheField>
    <cacheField name="Policy Start" numFmtId="14">
      <sharedItems containsSemiMixedTypes="0" containsNonDate="0" containsDate="1" containsString="0" minDate="2025-01-05T00:00:00" maxDate="2025-12-21T00:00:00"/>
    </cacheField>
    <cacheField name="Policy End" numFmtId="14">
      <sharedItems containsSemiMixedTypes="0" containsNonDate="0" containsDate="1" containsString="0" minDate="2026-01-05T00:00:00" maxDate="2026-12-22T00:00:00"/>
    </cacheField>
    <cacheField name="Claim History" numFmtId="14">
      <sharedItems/>
    </cacheField>
    <cacheField name="Phone Number" numFmtId="164">
      <sharedItems containsMixedTypes="1" containsNumber="1" containsInteger="1" minValue="9170001111" maxValue="9189998888"/>
    </cacheField>
    <cacheField name="Email" numFmtId="0">
      <sharedItems/>
    </cacheField>
    <cacheField name="Agent Name" numFmtId="0">
      <sharedItems count="8">
        <s v="Maria Santos "/>
        <s v="Carlos Mendoza"/>
        <s v="Liza Cruz"/>
        <s v="Pedro Santos"/>
        <s v="Rose Aquino"/>
        <s v="John Reyes"/>
        <s v="Anne Cruz"/>
        <s v="Maria Santos"/>
      </sharedItems>
    </cacheField>
    <cacheField name="Policy Status" numFmtId="0">
      <sharedItems count="4">
        <s v="Active"/>
        <s v="Expired"/>
        <s v="Cancelled"/>
        <s v="Pending"/>
      </sharedItems>
    </cacheField>
  </cacheFields>
  <extLst>
    <ext xmlns:x14="http://schemas.microsoft.com/office/spreadsheetml/2009/9/main" uri="{725AE2AE-9491-48be-B2B4-4EB974FC3084}">
      <x14:pivotCacheDefinition pivotCacheId="10861545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s v="Juan Dela Cruz"/>
    <s v="12 Mabini St."/>
    <x v="0"/>
    <s v="Rizal"/>
    <n v="1900"/>
    <x v="0"/>
    <x v="0"/>
    <n v="5000000"/>
    <d v="2025-01-15T00:00:00"/>
    <d v="2026-01-15T00:00:00"/>
    <s v="No"/>
    <n v="9171234567"/>
    <s v="juandelacruz@email.com"/>
    <x v="0"/>
    <x v="0"/>
  </r>
  <r>
    <x v="1"/>
    <s v="Ana Reyes"/>
    <s v="Blk 5 Lot 8 Phase 2"/>
    <x v="1"/>
    <s v="Rizal"/>
    <n v="1940"/>
    <x v="1"/>
    <x v="1"/>
    <n v="7500000"/>
    <d v="2025-10-02T00:00:00"/>
    <d v="2026-10-02T00:00:00"/>
    <s v="Yes"/>
    <s v="+63 917 998 1122"/>
    <s v="anareyes@gmail.com"/>
    <x v="1"/>
    <x v="0"/>
  </r>
  <r>
    <x v="2"/>
    <s v="Mark Villanueva"/>
    <s v="45 Luna Ave"/>
    <x v="2"/>
    <s v="Rizal"/>
    <n v="1920"/>
    <x v="0"/>
    <x v="2"/>
    <n v="5000000"/>
    <d v="2025-03-01T00:00:00"/>
    <d v="2026-03-01T00:00:00"/>
    <s v="No"/>
    <n v="9171238899"/>
    <s v="markv@yahoo.com"/>
    <x v="2"/>
    <x v="0"/>
  </r>
  <r>
    <x v="3"/>
    <s v="Bea Ramos"/>
    <s v="88 Emerald St."/>
    <x v="3"/>
    <s v="Rizal"/>
    <n v="1870"/>
    <x v="2"/>
    <x v="3"/>
    <n v="6500000"/>
    <d v="2025-04-20T00:00:00"/>
    <d v="2026-04-20T00:00:00"/>
    <s v="N/A"/>
    <n v="9182234455"/>
    <s v="bearamos@mail.com"/>
    <x v="3"/>
    <x v="1"/>
  </r>
  <r>
    <x v="4"/>
    <s v="Kevin Lim"/>
    <s v="27 Sampaguita Rd"/>
    <x v="0"/>
    <s v="Rizal"/>
    <n v="1900"/>
    <x v="1"/>
    <x v="4"/>
    <n v="8500000"/>
    <d v="2025-12-05T00:00:00"/>
    <d v="2026-12-05T00:00:00"/>
    <s v="Yes"/>
    <n v="9181231234"/>
    <s v="kevinlim@gmail.com"/>
    <x v="4"/>
    <x v="2"/>
  </r>
  <r>
    <x v="5"/>
    <s v="Marie Lopez"/>
    <s v="102 Riverside"/>
    <x v="1"/>
    <s v="Rizal"/>
    <n v="1940"/>
    <x v="0"/>
    <x v="5"/>
    <n v="4500000"/>
    <d v="2025-06-01T00:00:00"/>
    <d v="2026-06-01T00:00:00"/>
    <s v="No"/>
    <n v="9171110000"/>
    <s v="marielopez@email.com"/>
    <x v="5"/>
    <x v="0"/>
  </r>
  <r>
    <x v="6"/>
    <s v="Chris Dizon"/>
    <s v="17 Sunset Village"/>
    <x v="2"/>
    <s v="Rizal"/>
    <n v="1920"/>
    <x v="0"/>
    <x v="6"/>
    <n v="5000000"/>
    <d v="2025-07-14T00:00:00"/>
    <d v="2026-07-14T00:00:00"/>
    <s v="No"/>
    <n v="9175556666"/>
    <s v="chrisdizon@@gmail.com"/>
    <x v="6"/>
    <x v="0"/>
  </r>
  <r>
    <x v="7"/>
    <s v="Ella Santos"/>
    <s v="Lot 9 Greenwoods"/>
    <x v="0"/>
    <s v="Rizal"/>
    <n v="1900"/>
    <x v="1"/>
    <x v="7"/>
    <n v="7000000"/>
    <d v="2025-01-08T00:00:00"/>
    <d v="2026-02-08T00:00:00"/>
    <s v="Yes"/>
    <n v="9178889999"/>
    <s v="ellasantos@gmail.com"/>
    <x v="7"/>
    <x v="3"/>
  </r>
  <r>
    <x v="8"/>
    <s v="Paolo Cruz"/>
    <s v="45 Rose St."/>
    <x v="1"/>
    <s v="Rizal"/>
    <n v="1940"/>
    <x v="2"/>
    <x v="8"/>
    <n v="6200000"/>
    <d v="2025-08-22T00:00:00"/>
    <d v="2026-08-22T00:00:00"/>
    <s v="No"/>
    <n v="9172345678"/>
    <s v="paolocruz@yahoo.com"/>
    <x v="2"/>
    <x v="0"/>
  </r>
  <r>
    <x v="9"/>
    <s v="Sarah Go"/>
    <s v="88 Acacia Ave."/>
    <x v="3"/>
    <s v="Rizal"/>
    <n v="1870"/>
    <x v="2"/>
    <x v="1"/>
    <n v="6800000"/>
    <d v="2025-09-01T00:00:00"/>
    <d v="2026-09-01T00:00:00"/>
    <s v="Yes"/>
    <n v="9177771111"/>
    <s v="sarahgo@gmail.com"/>
    <x v="1"/>
    <x v="1"/>
  </r>
  <r>
    <x v="10"/>
    <s v="Rica Flores"/>
    <s v="Blk 2 Lot 4"/>
    <x v="0"/>
    <s v="Rizal"/>
    <n v="1900"/>
    <x v="0"/>
    <x v="9"/>
    <n v="5000000"/>
    <d v="2025-10-10T00:00:00"/>
    <d v="2026-10-10T00:00:00"/>
    <s v="No"/>
    <n v="9189998888"/>
    <s v="ricaflores@email.com"/>
    <x v="3"/>
    <x v="0"/>
  </r>
  <r>
    <x v="11"/>
    <s v="John Ramos"/>
    <s v="44 Mango St."/>
    <x v="2"/>
    <s v="Rizal"/>
    <n v="1920"/>
    <x v="2"/>
    <x v="3"/>
    <n v="6500000"/>
    <d v="2025-11-11T00:00:00"/>
    <d v="2026-11-11T00:00:00"/>
    <s v="No"/>
    <n v="9171239876"/>
    <s v="johnramos@gmail.com"/>
    <x v="4"/>
    <x v="2"/>
  </r>
  <r>
    <x v="12"/>
    <s v="Lorraine Yu"/>
    <s v="15 Diamond Village"/>
    <x v="3"/>
    <s v="Rizal"/>
    <n v="1870"/>
    <x v="0"/>
    <x v="10"/>
    <n v="4800000"/>
    <d v="2025-12-01T00:00:00"/>
    <d v="2026-12-01T00:00:00"/>
    <s v="Yes"/>
    <n v="9181239999"/>
    <s v="lorraineyu@gmail.com"/>
    <x v="6"/>
    <x v="3"/>
  </r>
  <r>
    <x v="13"/>
    <s v="Michael Tan "/>
    <s v="21 Pearl Drive"/>
    <x v="1"/>
    <s v="Rizal"/>
    <n v="1940"/>
    <x v="1"/>
    <x v="11"/>
    <n v="9000000"/>
    <d v="2025-12-15T00:00:00"/>
    <d v="2026-12-15T00:00:00"/>
    <s v="No"/>
    <n v="9171111222"/>
    <s v="michaeltan@gmail.com"/>
    <x v="7"/>
    <x v="0"/>
  </r>
  <r>
    <x v="14"/>
    <s v="Nina Perez"/>
    <s v="77 Jasmine Rd"/>
    <x v="0"/>
    <s v="Rizal"/>
    <n v="1900"/>
    <x v="2"/>
    <x v="3"/>
    <n v="6500000"/>
    <d v="2025-01-05T00:00:00"/>
    <d v="2026-01-05T00:00:00"/>
    <s v="No"/>
    <n v="9176667777"/>
    <s v="ninaperez@gmail.com"/>
    <x v="2"/>
    <x v="0"/>
  </r>
  <r>
    <x v="15"/>
    <s v="Paul Garcia"/>
    <s v="89 Lakeview"/>
    <x v="2"/>
    <s v="Rizal"/>
    <n v="1920"/>
    <x v="0"/>
    <x v="12"/>
    <n v="5000000"/>
    <d v="2025-02-14T00:00:00"/>
    <d v="2026-02-14T00:00:00"/>
    <s v="No"/>
    <n v="9172340000"/>
    <s v="paulgarcia@email.com"/>
    <x v="1"/>
    <x v="0"/>
  </r>
  <r>
    <x v="16"/>
    <s v="Jasmine Co"/>
    <s v="31 Riverfront"/>
    <x v="3"/>
    <s v="Rizal"/>
    <n v="1870"/>
    <x v="2"/>
    <x v="13"/>
    <n v="7000000"/>
    <d v="2025-03-20T00:00:00"/>
    <d v="2026-03-20T00:00:00"/>
    <s v="Yes"/>
    <n v="9171230000"/>
    <s v="jasmineco@gmail.com"/>
    <x v="4"/>
    <x v="1"/>
  </r>
  <r>
    <x v="17"/>
    <s v="Ben Torres"/>
    <s v="102 Hilltop St."/>
    <x v="0"/>
    <s v="Rizal"/>
    <n v="1900"/>
    <x v="0"/>
    <x v="0"/>
    <n v="5000000"/>
    <d v="2025-04-18T00:00:00"/>
    <d v="2026-04-19T00:00:00"/>
    <s v="No"/>
    <n v="9175550000"/>
    <s v="bentorres@yahoo.com"/>
    <x v="6"/>
    <x v="0"/>
  </r>
  <r>
    <x v="18"/>
    <s v="Grace Uy"/>
    <s v="45 Parklane"/>
    <x v="1"/>
    <s v="Rizal"/>
    <n v="1940"/>
    <x v="1"/>
    <x v="14"/>
    <n v="9500000"/>
    <d v="2025-05-25T00:00:00"/>
    <d v="2026-05-25T00:00:00"/>
    <s v="Yes"/>
    <n v="9179991111"/>
    <s v="graceuygmail.com"/>
    <x v="7"/>
    <x v="2"/>
  </r>
  <r>
    <x v="19"/>
    <s v="Leo Mendoza"/>
    <s v="67 Palm Village"/>
    <x v="2"/>
    <s v="Rizal"/>
    <n v="1920"/>
    <x v="2"/>
    <x v="1"/>
    <n v="6800000"/>
    <d v="2025-06-30T00:00:00"/>
    <d v="2026-06-30T00:00:00"/>
    <s v="N/A"/>
    <n v="9178889999"/>
    <s v="leomendoza@gmail.com"/>
    <x v="3"/>
    <x v="3"/>
  </r>
  <r>
    <x v="20"/>
    <s v="Camille Ong"/>
    <s v="88 Sunrise Ave."/>
    <x v="0"/>
    <s v="Rizal"/>
    <n v="1900"/>
    <x v="1"/>
    <x v="4"/>
    <n v="8500000"/>
    <d v="2025-07-07T00:00:00"/>
    <d v="2026-08-07T00:00:00"/>
    <s v="No"/>
    <n v="9173334444"/>
    <s v="camilleong@gmail.com"/>
    <x v="2"/>
    <x v="0"/>
  </r>
  <r>
    <x v="21"/>
    <s v="Ralph Sy"/>
    <s v="12 Orchard Rd."/>
    <x v="3"/>
    <s v="Rizal"/>
    <n v="1870"/>
    <x v="0"/>
    <x v="5"/>
    <n v="4500000"/>
    <d v="2025-08-15T00:00:00"/>
    <d v="2026-08-15T00:00:00"/>
    <s v="Yes"/>
    <n v="9175557777"/>
    <s v="ralphsy@yahoo.com"/>
    <x v="1"/>
    <x v="0"/>
  </r>
  <r>
    <x v="22"/>
    <s v="Diane Cruz"/>
    <s v="34 Evergreen"/>
    <x v="2"/>
    <s v="Rizal"/>
    <n v="1920"/>
    <x v="2"/>
    <x v="6"/>
    <n v="6500000"/>
    <d v="2025-09-09T00:00:00"/>
    <d v="2026-09-09T00:00:00"/>
    <s v="No"/>
    <n v="9176661111"/>
    <s v="dianecruz@email.com"/>
    <x v="4"/>
    <x v="1"/>
  </r>
  <r>
    <x v="23"/>
    <s v="Victor Lim"/>
    <s v="90 Garden St."/>
    <x v="0"/>
    <s v="Rizal"/>
    <n v="1900"/>
    <x v="1"/>
    <x v="15"/>
    <n v="10000000"/>
    <d v="2025-10-10T00:00:00"/>
    <d v="2026-10-10T00:00:00"/>
    <s v="No"/>
    <n v="9174445555"/>
    <s v="victorlim@gmail.com"/>
    <x v="7"/>
    <x v="0"/>
  </r>
  <r>
    <x v="24"/>
    <s v="Cherry Santos"/>
    <s v="66 Riverside"/>
    <x v="1"/>
    <s v="Rizal"/>
    <n v="1940"/>
    <x v="0"/>
    <x v="16"/>
    <n v="4700000"/>
    <d v="2025-11-18T00:00:00"/>
    <d v="2026-11-18T00:00:00"/>
    <s v="Yes"/>
    <n v="9178887777"/>
    <s v="cherrysantos@yahoo.com"/>
    <x v="6"/>
    <x v="2"/>
  </r>
  <r>
    <x v="25"/>
    <s v="Adrian Lee"/>
    <s v="45 Greenfield"/>
    <x v="3"/>
    <s v="Rizal"/>
    <n v="1870"/>
    <x v="2"/>
    <x v="1"/>
    <n v="6500000"/>
    <d v="2025-12-20T00:00:00"/>
    <d v="2026-12-21T00:00:00"/>
    <s v="No"/>
    <n v="9170001111"/>
    <s v="adrianlee@gmail.com"/>
    <x v="3"/>
    <x v="3"/>
  </r>
  <r>
    <x v="26"/>
    <s v="Sophia Tan"/>
    <s v="101 Mountain View"/>
    <x v="0"/>
    <s v="Rizal"/>
    <n v="1900"/>
    <x v="1"/>
    <x v="17"/>
    <n v="9200000"/>
    <d v="2025-01-25T00:00:00"/>
    <d v="2026-01-25T00:00:00"/>
    <s v="No"/>
    <n v="9179990000"/>
    <s v="sophiatan@gmail.com"/>
    <x v="2"/>
    <x v="0"/>
  </r>
  <r>
    <x v="27"/>
    <s v="Jason Co"/>
    <s v="72 Brookside"/>
    <x v="2"/>
    <s v="Rizal"/>
    <n v="1920"/>
    <x v="0"/>
    <x v="0"/>
    <n v="5000000"/>
    <d v="2025-02-28T00:00:00"/>
    <d v="2026-02-28T00:00:00"/>
    <s v="Yes"/>
    <n v="9173334444"/>
    <s v="jasonco@gmail.com"/>
    <x v="4"/>
    <x v="1"/>
  </r>
  <r>
    <x v="28"/>
    <s v="Angela Reyes"/>
    <s v="9 Rosewood Ave."/>
    <x v="3"/>
    <s v="Rizal"/>
    <n v="1870"/>
    <x v="2"/>
    <x v="18"/>
    <n v="6600000"/>
    <d v="2025-03-30T00:00:00"/>
    <d v="2026-03-30T00:00:00"/>
    <s v="No"/>
    <n v="9182223333"/>
    <s v="angelareyes@gmail.com"/>
    <x v="1"/>
    <x v="0"/>
  </r>
  <r>
    <x v="29"/>
    <s v="Patrick Ong"/>
    <s v="56 Pinecrest"/>
    <x v="1"/>
    <s v="Rizal"/>
    <n v="1940"/>
    <x v="1"/>
    <x v="19"/>
    <n v="9800000"/>
    <d v="2025-04-11T00:00:00"/>
    <d v="2026-05-11T00:00:00"/>
    <s v="Yes"/>
    <n v="9173332222"/>
    <s v="patrickong@gmail.com"/>
    <x v="7"/>
    <x v="2"/>
  </r>
  <r>
    <x v="30"/>
    <s v="Liza Ramos"/>
    <s v="23 Forest Hills"/>
    <x v="0"/>
    <s v="Rizal"/>
    <n v="1900"/>
    <x v="0"/>
    <x v="20"/>
    <n v="4900000"/>
    <d v="2025-05-17T00:00:00"/>
    <d v="2026-05-17T00:00:00"/>
    <s v="No"/>
    <n v="9175558888"/>
    <s v="lizaramos@email.com"/>
    <x v="6"/>
    <x v="3"/>
  </r>
  <r>
    <x v="31"/>
    <s v="Kevin Sy"/>
    <s v="78 Ocean View"/>
    <x v="2"/>
    <s v="Rizal"/>
    <n v="1920"/>
    <x v="2"/>
    <x v="13"/>
    <n v="7000000"/>
    <d v="2025-06-06T00:00:00"/>
    <d v="2026-07-06T00:00:00"/>
    <s v="No"/>
    <n v="9179994444"/>
    <s v="kevinsy@gmail.com"/>
    <x v="4"/>
    <x v="0"/>
  </r>
  <r>
    <x v="32"/>
    <s v="Mica Flores"/>
    <s v="44 Maple St."/>
    <x v="3"/>
    <s v="Rizal"/>
    <n v="1870"/>
    <x v="0"/>
    <x v="21"/>
    <n v="4600000"/>
    <d v="2025-07-13T00:00:00"/>
    <d v="2026-07-13T00:00:00"/>
    <s v="No"/>
    <n v="9176660000"/>
    <s v="micaflores@gmail.com"/>
    <x v="1"/>
    <x v="1"/>
  </r>
  <r>
    <x v="33"/>
    <s v="Dan Cruz"/>
    <s v="15 Sunset Blvd."/>
    <x v="0"/>
    <s v="Rizal"/>
    <n v="1900"/>
    <x v="1"/>
    <x v="22"/>
    <n v="9100000"/>
    <d v="2025-08-08T00:00:00"/>
    <d v="2026-09-08T00:00:00"/>
    <s v="Yes"/>
    <n v="9172221111"/>
    <s v="dancruz@gmail.com"/>
    <x v="7"/>
    <x v="0"/>
  </r>
  <r>
    <x v="34"/>
    <s v="Ronnie Perez"/>
    <s v="88 Skyline"/>
    <x v="2"/>
    <s v="Rizal"/>
    <n v="1920"/>
    <x v="2"/>
    <x v="23"/>
    <n v="6700000"/>
    <d v="2025-09-21T00:00:00"/>
    <d v="2026-09-21T00:00:00"/>
    <s v="No"/>
    <n v="9178880000"/>
    <s v="ronnieperez@yahoo.com"/>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CF0859-6BC1-4046-9B44-001B223DE94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14:M19" firstHeaderRow="1" firstDataRow="1" firstDataCol="1"/>
  <pivotFields count="16">
    <pivotField dataField="1"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pivotField showAll="0"/>
    <pivotField showAll="0">
      <items count="5">
        <item x="3"/>
        <item x="1"/>
        <item x="0"/>
        <item x="2"/>
        <item t="default"/>
      </items>
    </pivotField>
    <pivotField showAll="0"/>
    <pivotField showAll="0"/>
    <pivotField showAll="0">
      <items count="4">
        <item x="0"/>
        <item x="2"/>
        <item x="1"/>
        <item t="default"/>
      </items>
    </pivotField>
    <pivotField showAll="0"/>
    <pivotField numFmtId="44" showAll="0"/>
    <pivotField numFmtId="14" showAll="0"/>
    <pivotField numFmtId="14" showAll="0"/>
    <pivotField showAll="0"/>
    <pivotField showAll="0"/>
    <pivotField showAll="0"/>
    <pivotField showAll="0">
      <items count="9">
        <item x="6"/>
        <item x="1"/>
        <item x="5"/>
        <item x="2"/>
        <item x="7"/>
        <item x="0"/>
        <item x="3"/>
        <item x="4"/>
        <item t="default"/>
      </items>
    </pivotField>
    <pivotField axis="axisRow" showAll="0">
      <items count="5">
        <item x="0"/>
        <item x="2"/>
        <item x="1"/>
        <item x="3"/>
        <item t="default"/>
      </items>
    </pivotField>
  </pivotFields>
  <rowFields count="1">
    <field x="15"/>
  </rowFields>
  <rowItems count="5">
    <i>
      <x/>
    </i>
    <i>
      <x v="1"/>
    </i>
    <i>
      <x v="2"/>
    </i>
    <i>
      <x v="3"/>
    </i>
    <i t="grand">
      <x/>
    </i>
  </rowItems>
  <colItems count="1">
    <i/>
  </colItems>
  <dataFields count="1">
    <dataField name="Count of Policy ID" fld="0" subtotal="count" baseField="0" baseItem="0"/>
  </dataFields>
  <formats count="7">
    <format dxfId="6">
      <pivotArea type="all" dataOnly="0" outline="0" fieldPosition="0"/>
    </format>
    <format dxfId="5">
      <pivotArea outline="0" collapsedLevelsAreSubtotals="1" fieldPosition="0"/>
    </format>
    <format dxfId="4">
      <pivotArea field="15" type="button" dataOnly="0" labelOnly="1" outline="0" axis="axisRow" fieldPosition="0"/>
    </format>
    <format dxfId="3">
      <pivotArea dataOnly="0" labelOnly="1" fieldPosition="0">
        <references count="1">
          <reference field="15" count="0"/>
        </references>
      </pivotArea>
    </format>
    <format dxfId="2">
      <pivotArea dataOnly="0" labelOnly="1" grandRow="1" outline="0" fieldPosition="0"/>
    </format>
    <format dxfId="1">
      <pivotArea dataOnly="0" labelOnly="1" outline="0" axis="axisValues" fieldPosition="0"/>
    </format>
    <format dxfId="0">
      <pivotArea dataOnly="0" labelOnly="1" fieldPosition="0">
        <references count="1">
          <reference field="15" count="0"/>
        </references>
      </pivotArea>
    </format>
  </format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5" count="1" selected="0">
            <x v="0"/>
          </reference>
        </references>
      </pivotArea>
    </chartFormat>
    <chartFormat chart="1" format="3">
      <pivotArea type="data" outline="0" fieldPosition="0">
        <references count="2">
          <reference field="4294967294" count="1" selected="0">
            <x v="0"/>
          </reference>
          <reference field="15" count="1" selected="0">
            <x v="1"/>
          </reference>
        </references>
      </pivotArea>
    </chartFormat>
    <chartFormat chart="1" format="4">
      <pivotArea type="data" outline="0" fieldPosition="0">
        <references count="2">
          <reference field="4294967294" count="1" selected="0">
            <x v="0"/>
          </reference>
          <reference field="15" count="1" selected="0">
            <x v="2"/>
          </reference>
        </references>
      </pivotArea>
    </chartFormat>
    <chartFormat chart="1" format="5">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80AD7D-B875-4197-A3CC-60B1EC25B28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0:I15" firstHeaderRow="1" firstDataRow="1" firstDataCol="1"/>
  <pivotFields count="16">
    <pivotField showAll="0"/>
    <pivotField showAll="0"/>
    <pivotField showAll="0"/>
    <pivotField axis="axisRow" showAll="0">
      <items count="5">
        <item x="3"/>
        <item x="1"/>
        <item x="0"/>
        <item x="2"/>
        <item t="default"/>
      </items>
    </pivotField>
    <pivotField showAll="0"/>
    <pivotField showAll="0"/>
    <pivotField showAll="0">
      <items count="4">
        <item x="0"/>
        <item x="2"/>
        <item x="1"/>
        <item t="default"/>
      </items>
    </pivotField>
    <pivotField showAll="0"/>
    <pivotField dataField="1" numFmtId="44" showAll="0"/>
    <pivotField numFmtId="14" showAll="0"/>
    <pivotField numFmtId="14" showAll="0"/>
    <pivotField showAll="0"/>
    <pivotField showAll="0"/>
    <pivotField showAll="0"/>
    <pivotField showAll="0">
      <items count="9">
        <item x="6"/>
        <item x="1"/>
        <item x="5"/>
        <item x="2"/>
        <item x="7"/>
        <item x="0"/>
        <item x="3"/>
        <item x="4"/>
        <item t="default"/>
      </items>
    </pivotField>
    <pivotField showAll="0">
      <items count="5">
        <item x="0"/>
        <item x="2"/>
        <item x="1"/>
        <item x="3"/>
        <item t="default"/>
      </items>
    </pivotField>
  </pivotFields>
  <rowFields count="1">
    <field x="3"/>
  </rowFields>
  <rowItems count="5">
    <i>
      <x/>
    </i>
    <i>
      <x v="1"/>
    </i>
    <i>
      <x v="2"/>
    </i>
    <i>
      <x v="3"/>
    </i>
    <i t="grand">
      <x/>
    </i>
  </rowItems>
  <colItems count="1">
    <i/>
  </colItems>
  <dataFields count="1">
    <dataField name="Sum of Coverage Amount" fld="8" baseField="0" baseItem="0" numFmtId="44"/>
  </dataFields>
  <formats count="7">
    <format dxfId="13">
      <pivotArea type="all" dataOnly="0" outline="0" fieldPosition="0"/>
    </format>
    <format dxfId="12">
      <pivotArea outline="0" collapsedLevelsAreSubtotals="1" fieldPosition="0"/>
    </format>
    <format dxfId="11">
      <pivotArea field="3" type="button" dataOnly="0" labelOnly="1" outline="0" axis="axisRow" fieldPosition="0"/>
    </format>
    <format dxfId="10">
      <pivotArea dataOnly="0" labelOnly="1" fieldPosition="0">
        <references count="1">
          <reference field="3" count="0"/>
        </references>
      </pivotArea>
    </format>
    <format dxfId="9">
      <pivotArea dataOnly="0" labelOnly="1" grandRow="1" outline="0" fieldPosition="0"/>
    </format>
    <format dxfId="8">
      <pivotArea dataOnly="0" labelOnly="1" outline="0" axis="axisValues" fieldPosition="0"/>
    </format>
    <format dxfId="7">
      <pivotArea dataOnly="0" labelOnly="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DBD46D-02A8-4C1D-8D81-9ED3695F1FF6}"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17:I21" firstHeaderRow="1" firstDataRow="1" firstDataCol="1"/>
  <pivotFields count="16">
    <pivotField dataField="1"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pivotField showAll="0"/>
    <pivotField showAll="0">
      <items count="5">
        <item x="3"/>
        <item x="1"/>
        <item x="0"/>
        <item x="2"/>
        <item t="default"/>
      </items>
    </pivotField>
    <pivotField showAll="0"/>
    <pivotField showAll="0"/>
    <pivotField axis="axisRow" showAll="0">
      <items count="4">
        <item x="0"/>
        <item x="2"/>
        <item x="1"/>
        <item t="default"/>
      </items>
    </pivotField>
    <pivotField showAll="0">
      <items count="25">
        <item x="6"/>
        <item x="16"/>
        <item x="21"/>
        <item x="5"/>
        <item x="20"/>
        <item x="0"/>
        <item x="10"/>
        <item x="9"/>
        <item x="2"/>
        <item x="8"/>
        <item x="3"/>
        <item x="18"/>
        <item x="23"/>
        <item x="1"/>
        <item x="13"/>
        <item x="7"/>
        <item x="4"/>
        <item x="11"/>
        <item x="22"/>
        <item x="17"/>
        <item x="14"/>
        <item x="19"/>
        <item x="15"/>
        <item x="12"/>
        <item t="default"/>
      </items>
    </pivotField>
    <pivotField numFmtId="44" showAll="0"/>
    <pivotField numFmtId="14" showAll="0"/>
    <pivotField numFmtId="14" showAll="0"/>
    <pivotField showAll="0"/>
    <pivotField showAll="0"/>
    <pivotField showAll="0"/>
    <pivotField showAll="0">
      <items count="9">
        <item x="6"/>
        <item x="1"/>
        <item x="5"/>
        <item x="2"/>
        <item x="7"/>
        <item x="0"/>
        <item x="3"/>
        <item x="4"/>
        <item t="default"/>
      </items>
    </pivotField>
    <pivotField showAll="0">
      <items count="5">
        <item x="0"/>
        <item x="2"/>
        <item x="1"/>
        <item x="3"/>
        <item t="default"/>
      </items>
    </pivotField>
  </pivotFields>
  <rowFields count="1">
    <field x="6"/>
  </rowFields>
  <rowItems count="4">
    <i>
      <x/>
    </i>
    <i>
      <x v="1"/>
    </i>
    <i>
      <x v="2"/>
    </i>
    <i t="grand">
      <x/>
    </i>
  </rowItems>
  <colItems count="1">
    <i/>
  </colItems>
  <dataFields count="1">
    <dataField name="Count of Policy ID" fld="0" subtotal="count" baseField="0" baseItem="0"/>
  </dataFields>
  <formats count="4">
    <format dxfId="17">
      <pivotArea type="all" dataOnly="0" outline="0" fieldPosition="0"/>
    </format>
    <format dxfId="16">
      <pivotArea outline="0" collapsedLevelsAreSubtotals="1" fieldPosition="0"/>
    </format>
    <format dxfId="15">
      <pivotArea field="3" type="button" dataOnly="0" labelOnly="1" outline="0"/>
    </format>
    <format dxfId="14">
      <pivotArea dataOnly="0" labelOnly="1" grandRow="1" outline="0" fieldPosition="0"/>
    </format>
  </format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0F27ED-F813-4C55-85E9-EF39689D7B32}"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23:J28" firstHeaderRow="0" firstDataRow="1" firstDataCol="1"/>
  <pivotFields count="16">
    <pivotField dataField="1"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pivotField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dataField="1" showAll="0">
      <items count="25">
        <item x="6"/>
        <item x="16"/>
        <item x="21"/>
        <item x="5"/>
        <item x="20"/>
        <item x="0"/>
        <item x="10"/>
        <item x="9"/>
        <item x="2"/>
        <item x="8"/>
        <item x="3"/>
        <item x="18"/>
        <item x="23"/>
        <item x="1"/>
        <item x="13"/>
        <item x="7"/>
        <item x="4"/>
        <item x="11"/>
        <item x="22"/>
        <item x="17"/>
        <item x="14"/>
        <item x="19"/>
        <item x="15"/>
        <item x="12"/>
        <item t="default"/>
      </items>
    </pivotField>
    <pivotField numFmtId="44" showAll="0"/>
    <pivotField numFmtId="14" showAll="0"/>
    <pivotField numFmtId="14" showAll="0"/>
    <pivotField showAll="0"/>
    <pivotField showAll="0"/>
    <pivotField showAll="0"/>
    <pivotField showAll="0">
      <items count="9">
        <item x="6"/>
        <item x="1"/>
        <item x="5"/>
        <item x="2"/>
        <item x="7"/>
        <item x="0"/>
        <item x="3"/>
        <item x="4"/>
        <item t="default"/>
      </items>
    </pivotField>
    <pivotField showAll="0">
      <items count="5">
        <item x="0"/>
        <item x="2"/>
        <item x="1"/>
        <item x="3"/>
        <item t="default"/>
      </items>
    </pivotField>
  </pivotFields>
  <rowFields count="1">
    <field x="3"/>
  </rowFields>
  <rowItems count="5">
    <i>
      <x v="2"/>
    </i>
    <i>
      <x v="1"/>
    </i>
    <i>
      <x/>
    </i>
    <i>
      <x v="3"/>
    </i>
    <i t="grand">
      <x/>
    </i>
  </rowItems>
  <colFields count="1">
    <field x="-2"/>
  </colFields>
  <colItems count="2">
    <i>
      <x/>
    </i>
    <i i="1">
      <x v="1"/>
    </i>
  </colItems>
  <dataFields count="2">
    <dataField name="Average of Premium Amount" fld="7" subtotal="average" baseField="3" baseItem="0" numFmtId="44"/>
    <dataField name="Count of Policy ID" fld="0" subtotal="count" baseField="0" baseItem="0"/>
  </dataFields>
  <formats count="7">
    <format dxfId="24">
      <pivotArea outline="0" collapsedLevelsAreSubtotals="1" fieldPosition="0">
        <references count="1">
          <reference field="4294967294" count="1" selected="0">
            <x v="0"/>
          </reference>
        </references>
      </pivotArea>
    </format>
    <format dxfId="23">
      <pivotArea type="all" dataOnly="0" outline="0" fieldPosition="0"/>
    </format>
    <format dxfId="22">
      <pivotArea outline="0" collapsedLevelsAreSubtotals="1" fieldPosition="0"/>
    </format>
    <format dxfId="21">
      <pivotArea field="3" type="button" dataOnly="0" labelOnly="1" outline="0" axis="axisRow" fieldPosition="0"/>
    </format>
    <format dxfId="20">
      <pivotArea dataOnly="0" labelOnly="1" fieldPosition="0">
        <references count="1">
          <reference field="3" count="0"/>
        </references>
      </pivotArea>
    </format>
    <format dxfId="19">
      <pivotArea dataOnly="0" labelOnly="1" grandRow="1" outline="0" fieldPosition="0"/>
    </format>
    <format dxfId="18">
      <pivotArea dataOnly="0" labelOnly="1" outline="0" fieldPosition="0">
        <references count="1">
          <reference field="4294967294" count="1">
            <x v="0"/>
          </reference>
        </references>
      </pivotArea>
    </format>
  </formats>
  <chartFormats count="2">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E10B33-EE42-4F39-8389-48DA5381E8A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18" firstHeaderRow="1" firstDataRow="1" firstDataCol="1"/>
  <pivotFields count="16">
    <pivotField dataField="1"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pivotField showAll="0"/>
    <pivotField axis="axisRow" showAll="0">
      <items count="5">
        <item x="3"/>
        <item x="1"/>
        <item x="0"/>
        <item x="2"/>
        <item t="default"/>
      </items>
    </pivotField>
    <pivotField showAll="0"/>
    <pivotField showAll="0"/>
    <pivotField axis="axisRow" showAll="0">
      <items count="4">
        <item x="0"/>
        <item x="2"/>
        <item x="1"/>
        <item t="default"/>
      </items>
    </pivotField>
    <pivotField showAll="0"/>
    <pivotField numFmtId="44" showAll="0"/>
    <pivotField numFmtId="14" showAll="0"/>
    <pivotField numFmtId="14" showAll="0"/>
    <pivotField showAll="0"/>
    <pivotField showAll="0"/>
    <pivotField showAll="0"/>
    <pivotField showAll="0">
      <items count="9">
        <item x="6"/>
        <item x="1"/>
        <item x="5"/>
        <item x="2"/>
        <item x="7"/>
        <item x="0"/>
        <item x="3"/>
        <item x="4"/>
        <item t="default"/>
      </items>
    </pivotField>
    <pivotField showAll="0">
      <items count="5">
        <item x="0"/>
        <item x="2"/>
        <item x="1"/>
        <item x="3"/>
        <item t="default"/>
      </items>
    </pivotField>
  </pivotFields>
  <rowFields count="2">
    <field x="3"/>
    <field x="6"/>
  </rowFields>
  <rowItems count="15">
    <i>
      <x/>
    </i>
    <i r="1">
      <x/>
    </i>
    <i r="1">
      <x v="1"/>
    </i>
    <i>
      <x v="1"/>
    </i>
    <i r="1">
      <x/>
    </i>
    <i r="1">
      <x v="1"/>
    </i>
    <i r="1">
      <x v="2"/>
    </i>
    <i>
      <x v="2"/>
    </i>
    <i r="1">
      <x/>
    </i>
    <i r="1">
      <x v="1"/>
    </i>
    <i r="1">
      <x v="2"/>
    </i>
    <i>
      <x v="3"/>
    </i>
    <i r="1">
      <x/>
    </i>
    <i r="1">
      <x v="1"/>
    </i>
    <i t="grand">
      <x/>
    </i>
  </rowItems>
  <colItems count="1">
    <i/>
  </colItems>
  <dataFields count="1">
    <dataField name="Count of Policy ID" fld="0" subtotal="count" baseField="0" baseItem="0"/>
  </dataFields>
  <formats count="19">
    <format dxfId="43">
      <pivotArea outline="0" collapsedLevelsAreSubtotals="1" fieldPosition="0"/>
    </format>
    <format dxfId="42">
      <pivotArea type="all" dataOnly="0" outline="0" fieldPosition="0"/>
    </format>
    <format dxfId="41">
      <pivotArea outline="0" collapsedLevelsAreSubtotals="1" fieldPosition="0"/>
    </format>
    <format dxfId="40">
      <pivotArea field="3" type="button" dataOnly="0" labelOnly="1" outline="0" axis="axisRow" fieldPosition="0"/>
    </format>
    <format dxfId="39">
      <pivotArea dataOnly="0" labelOnly="1" fieldPosition="0">
        <references count="1">
          <reference field="3" count="0"/>
        </references>
      </pivotArea>
    </format>
    <format dxfId="38">
      <pivotArea dataOnly="0" labelOnly="1" grandRow="1" outline="0" fieldPosition="0"/>
    </format>
    <format dxfId="37">
      <pivotArea dataOnly="0" labelOnly="1" fieldPosition="0">
        <references count="2">
          <reference field="3" count="1" selected="0">
            <x v="0"/>
          </reference>
          <reference field="6" count="2">
            <x v="0"/>
            <x v="1"/>
          </reference>
        </references>
      </pivotArea>
    </format>
    <format dxfId="36">
      <pivotArea dataOnly="0" labelOnly="1" fieldPosition="0">
        <references count="2">
          <reference field="3" count="1" selected="0">
            <x v="1"/>
          </reference>
          <reference field="6" count="0"/>
        </references>
      </pivotArea>
    </format>
    <format dxfId="35">
      <pivotArea dataOnly="0" labelOnly="1" fieldPosition="0">
        <references count="2">
          <reference field="3" count="1" selected="0">
            <x v="2"/>
          </reference>
          <reference field="6" count="0"/>
        </references>
      </pivotArea>
    </format>
    <format dxfId="34">
      <pivotArea dataOnly="0" labelOnly="1" fieldPosition="0">
        <references count="2">
          <reference field="3" count="1" selected="0">
            <x v="3"/>
          </reference>
          <reference field="6" count="2">
            <x v="0"/>
            <x v="1"/>
          </reference>
        </references>
      </pivotArea>
    </format>
    <format dxfId="33">
      <pivotArea dataOnly="0" labelOnly="1" outline="0" axis="axisValues" fieldPosition="0"/>
    </format>
    <format dxfId="32">
      <pivotArea dataOnly="0" labelOnly="1" fieldPosition="0">
        <references count="1">
          <reference field="3" count="1">
            <x v="0"/>
          </reference>
        </references>
      </pivotArea>
    </format>
    <format dxfId="31">
      <pivotArea collapsedLevelsAreSubtotals="1" fieldPosition="0">
        <references count="1">
          <reference field="3" count="1">
            <x v="0"/>
          </reference>
        </references>
      </pivotArea>
    </format>
    <format dxfId="30">
      <pivotArea collapsedLevelsAreSubtotals="1" fieldPosition="0">
        <references count="1">
          <reference field="3" count="1">
            <x v="1"/>
          </reference>
        </references>
      </pivotArea>
    </format>
    <format dxfId="29">
      <pivotArea dataOnly="0" labelOnly="1" fieldPosition="0">
        <references count="1">
          <reference field="3" count="1">
            <x v="1"/>
          </reference>
        </references>
      </pivotArea>
    </format>
    <format dxfId="28">
      <pivotArea collapsedLevelsAreSubtotals="1" fieldPosition="0">
        <references count="1">
          <reference field="3" count="1">
            <x v="2"/>
          </reference>
        </references>
      </pivotArea>
    </format>
    <format dxfId="27">
      <pivotArea dataOnly="0" labelOnly="1" fieldPosition="0">
        <references count="1">
          <reference field="3" count="1">
            <x v="2"/>
          </reference>
        </references>
      </pivotArea>
    </format>
    <format dxfId="26">
      <pivotArea collapsedLevelsAreSubtotals="1" fieldPosition="0">
        <references count="1">
          <reference field="3" count="1">
            <x v="3"/>
          </reference>
        </references>
      </pivotArea>
    </format>
    <format dxfId="25">
      <pivotArea dataOnly="0" labelOnly="1" fieldPosition="0">
        <references count="1">
          <reference field="3" count="1">
            <x v="3"/>
          </reference>
        </references>
      </pivotArea>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FA8374-50E4-4241-AA8D-0720BB51CD0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12" firstHeaderRow="1" firstDataRow="1" firstDataCol="1"/>
  <pivotFields count="16">
    <pivotField dataField="1"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pivotField showAll="0"/>
    <pivotField showAll="0">
      <items count="5">
        <item x="3"/>
        <item x="1"/>
        <item x="0"/>
        <item x="2"/>
        <item t="default"/>
      </items>
    </pivotField>
    <pivotField showAll="0"/>
    <pivotField showAll="0"/>
    <pivotField showAll="0">
      <items count="4">
        <item x="0"/>
        <item x="2"/>
        <item x="1"/>
        <item t="default"/>
      </items>
    </pivotField>
    <pivotField showAll="0"/>
    <pivotField numFmtId="44" showAll="0"/>
    <pivotField numFmtId="14" showAll="0"/>
    <pivotField numFmtId="14" showAll="0"/>
    <pivotField showAll="0"/>
    <pivotField showAll="0"/>
    <pivotField showAll="0"/>
    <pivotField axis="axisRow" showAll="0">
      <items count="9">
        <item x="6"/>
        <item x="1"/>
        <item x="5"/>
        <item x="2"/>
        <item x="7"/>
        <item x="0"/>
        <item x="3"/>
        <item x="4"/>
        <item t="default"/>
      </items>
    </pivotField>
    <pivotField showAll="0">
      <items count="5">
        <item x="0"/>
        <item x="2"/>
        <item x="1"/>
        <item x="3"/>
        <item t="default"/>
      </items>
    </pivotField>
  </pivotFields>
  <rowFields count="1">
    <field x="14"/>
  </rowFields>
  <rowItems count="9">
    <i>
      <x/>
    </i>
    <i>
      <x v="1"/>
    </i>
    <i>
      <x v="2"/>
    </i>
    <i>
      <x v="3"/>
    </i>
    <i>
      <x v="4"/>
    </i>
    <i>
      <x v="5"/>
    </i>
    <i>
      <x v="6"/>
    </i>
    <i>
      <x v="7"/>
    </i>
    <i t="grand">
      <x/>
    </i>
  </rowItems>
  <colItems count="1">
    <i/>
  </colItems>
  <dataFields count="1">
    <dataField name="Count of Policy ID" fld="0" subtotal="count" baseField="0" baseItem="0"/>
  </dataFields>
  <formats count="7">
    <format dxfId="50">
      <pivotArea type="all" dataOnly="0" outline="0" fieldPosition="0"/>
    </format>
    <format dxfId="49">
      <pivotArea outline="0" collapsedLevelsAreSubtotals="1" fieldPosition="0"/>
    </format>
    <format dxfId="48">
      <pivotArea field="14" type="button" dataOnly="0" labelOnly="1" outline="0" axis="axisRow" fieldPosition="0"/>
    </format>
    <format dxfId="47">
      <pivotArea dataOnly="0" labelOnly="1" fieldPosition="0">
        <references count="1">
          <reference field="14" count="0"/>
        </references>
      </pivotArea>
    </format>
    <format dxfId="46">
      <pivotArea dataOnly="0" labelOnly="1" grandRow="1" outline="0" fieldPosition="0"/>
    </format>
    <format dxfId="45">
      <pivotArea dataOnly="0" labelOnly="1" outline="0" axis="axisValues" fieldPosition="0"/>
    </format>
    <format dxfId="44">
      <pivotArea dataOnly="0" labelOnly="1" fieldPosition="0">
        <references count="1">
          <reference field="1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FB7B98-C106-4CD2-AD07-24A3EC665C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I8" firstHeaderRow="1" firstDataRow="1" firstDataCol="1"/>
  <pivotFields count="16">
    <pivotField showAll="0"/>
    <pivotField showAll="0"/>
    <pivotField showAll="0"/>
    <pivotField axis="axisRow" showAll="0">
      <items count="5">
        <item x="3"/>
        <item x="1"/>
        <item x="0"/>
        <item x="2"/>
        <item t="default"/>
      </items>
    </pivotField>
    <pivotField showAll="0"/>
    <pivotField showAll="0"/>
    <pivotField showAll="0">
      <items count="4">
        <item x="0"/>
        <item x="2"/>
        <item x="1"/>
        <item t="default"/>
      </items>
    </pivotField>
    <pivotField dataField="1" showAll="0"/>
    <pivotField numFmtId="44" showAll="0"/>
    <pivotField numFmtId="14" showAll="0"/>
    <pivotField numFmtId="14" showAll="0"/>
    <pivotField showAll="0"/>
    <pivotField showAll="0"/>
    <pivotField showAll="0"/>
    <pivotField showAll="0">
      <items count="9">
        <item x="6"/>
        <item x="1"/>
        <item x="5"/>
        <item x="2"/>
        <item x="7"/>
        <item x="0"/>
        <item x="3"/>
        <item x="4"/>
        <item t="default"/>
      </items>
    </pivotField>
    <pivotField showAll="0">
      <items count="5">
        <item x="0"/>
        <item x="2"/>
        <item x="1"/>
        <item x="3"/>
        <item t="default"/>
      </items>
    </pivotField>
  </pivotFields>
  <rowFields count="1">
    <field x="3"/>
  </rowFields>
  <rowItems count="5">
    <i>
      <x/>
    </i>
    <i>
      <x v="1"/>
    </i>
    <i>
      <x v="2"/>
    </i>
    <i>
      <x v="3"/>
    </i>
    <i t="grand">
      <x/>
    </i>
  </rowItems>
  <colItems count="1">
    <i/>
  </colItems>
  <dataFields count="1">
    <dataField name="Sum of Premium Amount" fld="7" baseField="0" baseItem="0" numFmtId="44"/>
  </dataFields>
  <formats count="8">
    <format dxfId="58">
      <pivotArea outline="0" collapsedLevelsAreSubtotals="1" fieldPosition="0"/>
    </format>
    <format dxfId="57">
      <pivotArea type="all" dataOnly="0" outline="0" fieldPosition="0"/>
    </format>
    <format dxfId="56">
      <pivotArea outline="0" collapsedLevelsAreSubtotals="1" fieldPosition="0"/>
    </format>
    <format dxfId="55">
      <pivotArea field="3" type="button" dataOnly="0" labelOnly="1" outline="0" axis="axisRow" fieldPosition="0"/>
    </format>
    <format dxfId="54">
      <pivotArea dataOnly="0" labelOnly="1" fieldPosition="0">
        <references count="1">
          <reference field="3" count="0"/>
        </references>
      </pivotArea>
    </format>
    <format dxfId="53">
      <pivotArea dataOnly="0" labelOnly="1" grandRow="1" outline="0" fieldPosition="0"/>
    </format>
    <format dxfId="52">
      <pivotArea dataOnly="0" labelOnly="1" outline="0" axis="axisValues" fieldPosition="0"/>
    </format>
    <format dxfId="51">
      <pivotArea dataOnly="0" labelOnly="1" fieldPosition="0">
        <references count="1">
          <reference field="3" count="0"/>
        </references>
      </pivotArea>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unicipalities" xr10:uid="{015D0456-57FE-408B-A437-2B1DA58CB915}" sourceName="Municipalities">
  <pivotTables>
    <pivotTable tabId="17" name="PivotTable7"/>
    <pivotTable tabId="17" name="PivotTable2"/>
    <pivotTable tabId="17" name="PivotTable3"/>
    <pivotTable tabId="17" name="PivotTable4"/>
    <pivotTable tabId="17" name="PivotTable5"/>
    <pivotTable tabId="17" name="PivotTable35"/>
    <pivotTable tabId="17" name="PivotTable36"/>
  </pivotTables>
  <data>
    <tabular pivotCacheId="108615453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1" xr10:uid="{5110A0E8-32E3-4E6F-BD0E-76B68280A77B}" sourceName="Policy Type">
  <pivotTables>
    <pivotTable tabId="17" name="PivotTable7"/>
    <pivotTable tabId="17" name="PivotTable2"/>
    <pivotTable tabId="17" name="PivotTable3"/>
    <pivotTable tabId="17" name="PivotTable4"/>
    <pivotTable tabId="17" name="PivotTable5"/>
    <pivotTable tabId="17" name="PivotTable35"/>
    <pivotTable tabId="17" name="PivotTable36"/>
  </pivotTables>
  <data>
    <tabular pivotCacheId="108615453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Status2" xr10:uid="{1E1BAC31-6E29-42ED-A976-5AFA82C0485A}" sourceName="Policy Status">
  <pivotTables>
    <pivotTable tabId="17" name="PivotTable7"/>
    <pivotTable tabId="17" name="PivotTable2"/>
    <pivotTable tabId="17" name="PivotTable3"/>
    <pivotTable tabId="17" name="PivotTable4"/>
    <pivotTable tabId="17" name="PivotTable5"/>
    <pivotTable tabId="17" name="PivotTable35"/>
    <pivotTable tabId="17" name="PivotTable36"/>
  </pivotTables>
  <data>
    <tabular pivotCacheId="1086154533">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unicipalities" xr10:uid="{39982A0B-0EE1-4142-BE8D-F9745B1099EF}" cache="Slicer_Municipalities" caption="Municipalities" rowHeight="241300"/>
  <slicer name="Policy Type 2" xr10:uid="{BE8C3785-8484-414B-AC29-9DA5AF9DF844}" cache="Slicer_Policy_Type1" caption="Policy Type" rowHeight="241300"/>
  <slicer name="Policy Status 3" xr10:uid="{B2F5C932-2890-446C-95B8-1AF398AC362C}" cache="Slicer_Policy_Status2" caption="Policy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unicipalities 1" xr10:uid="{F4032818-4260-4D2D-86EA-450FC07A190F}" cache="Slicer_Municipalities" caption="Municipalities" rowHeight="241300"/>
  <slicer name="Policy Type" xr10:uid="{A97A0286-9866-4810-93FF-658877746185}" cache="Slicer_Policy_Type1" caption="Policy Type" rowHeight="241300"/>
  <slicer name="Policy Status" xr10:uid="{E3887B78-EBE6-4BA4-916E-CB96E0771D24}" cache="Slicer_Policy_Status2" caption="Policy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74E05D-4D16-466B-B860-E2D4841D4171}" name="Table2" displayName="Table2" ref="B2:Q37" totalsRowShown="0">
  <autoFilter ref="B2:Q37" xr:uid="{D474E05D-4D16-466B-B860-E2D4841D4171}"/>
  <tableColumns count="16">
    <tableColumn id="1" xr3:uid="{8682ABEC-E300-4524-B49E-08782BDBD538}" name="Policy ID" dataDxfId="66"/>
    <tableColumn id="2" xr3:uid="{6565E1BF-AAD1-454A-BD6E-0857A6CE19A0}" name="Client Name"/>
    <tableColumn id="3" xr3:uid="{B5C21969-B426-4E01-B84A-EE7A2B058FC6}" name="Property Address"/>
    <tableColumn id="4" xr3:uid="{9B962A0F-DE77-4486-9368-B7D58F268BDA}" name="Municipalities"/>
    <tableColumn id="5" xr3:uid="{7B7453D5-EF3A-47C4-8C2F-F502694A6760}" name="Province"/>
    <tableColumn id="6" xr3:uid="{D76246FA-1983-4142-B4D1-F9F196511973}" name="Zip Code"/>
    <tableColumn id="7" xr3:uid="{3B6943E7-0A73-4054-890F-629A91573B5A}" name="Policy Type"/>
    <tableColumn id="8" xr3:uid="{358D8E0B-9B67-4527-A099-F2F1A0C76C40}" name="Premium Amount" dataDxfId="65" dataCellStyle="Currency"/>
    <tableColumn id="9" xr3:uid="{37C8431E-A4E6-4D49-B86C-2290AA7228A2}" name="Coverage Amount" dataDxfId="64" dataCellStyle="Currency"/>
    <tableColumn id="10" xr3:uid="{C8F62771-8F9A-406A-A05F-38145339E807}" name="Policy Start" dataDxfId="63"/>
    <tableColumn id="11" xr3:uid="{3E3F3DE5-C1EA-4737-9515-F06DD0921543}" name="Policy End" dataDxfId="62"/>
    <tableColumn id="12" xr3:uid="{ABFAB813-EBE7-4126-8852-DA074A7B16CF}" name="Claim History" dataDxfId="61"/>
    <tableColumn id="13" xr3:uid="{846D6FF9-4DBB-4B85-803E-62F67838E238}" name="Phone Number" dataDxfId="60"/>
    <tableColumn id="14" xr3:uid="{821E1B73-11B2-4396-B752-4908F39BB0D4}" name="Email"/>
    <tableColumn id="15" xr3:uid="{D64A1236-C0D0-4099-9E46-A5A7B20FD9D8}" name="Agent Name"/>
    <tableColumn id="16" xr3:uid="{A72FCA69-C3AC-471B-9D43-B2A6F5985885}" name="Policy Status" dataDxfId="59"/>
  </tableColumns>
  <tableStyleInfo name="TableStyleLight20"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9033F-6355-4D19-B6D4-9103BF6C1BD6}">
  <dimension ref="B2:B38"/>
  <sheetViews>
    <sheetView zoomScaleNormal="100" workbookViewId="0"/>
  </sheetViews>
  <sheetFormatPr defaultRowHeight="15" x14ac:dyDescent="0.25"/>
  <sheetData>
    <row r="2" spans="2:2" x14ac:dyDescent="0.25">
      <c r="B2" s="2" t="s">
        <v>4</v>
      </c>
    </row>
    <row r="3" spans="2:2" x14ac:dyDescent="0.25">
      <c r="B3" s="2" t="s">
        <v>5</v>
      </c>
    </row>
    <row r="4" spans="2:2" x14ac:dyDescent="0.25">
      <c r="B4" s="2" t="s">
        <v>6</v>
      </c>
    </row>
    <row r="5" spans="2:2" x14ac:dyDescent="0.25">
      <c r="B5" s="2" t="s">
        <v>7</v>
      </c>
    </row>
    <row r="6" spans="2:2" x14ac:dyDescent="0.25">
      <c r="B6" s="2" t="s">
        <v>8</v>
      </c>
    </row>
    <row r="7" spans="2:2" x14ac:dyDescent="0.25">
      <c r="B7" s="2" t="s">
        <v>9</v>
      </c>
    </row>
    <row r="8" spans="2:2" x14ac:dyDescent="0.25">
      <c r="B8" s="2" t="s">
        <v>10</v>
      </c>
    </row>
    <row r="9" spans="2:2" x14ac:dyDescent="0.25">
      <c r="B9" s="2" t="s">
        <v>11</v>
      </c>
    </row>
    <row r="10" spans="2:2" x14ac:dyDescent="0.25">
      <c r="B10" s="2" t="s">
        <v>12</v>
      </c>
    </row>
    <row r="11" spans="2:2" x14ac:dyDescent="0.25">
      <c r="B11" s="2" t="s">
        <v>13</v>
      </c>
    </row>
    <row r="12" spans="2:2" x14ac:dyDescent="0.25">
      <c r="B12" s="2" t="s">
        <v>14</v>
      </c>
    </row>
    <row r="13" spans="2:2" x14ac:dyDescent="0.25">
      <c r="B13" s="2" t="s">
        <v>15</v>
      </c>
    </row>
    <row r="14" spans="2:2" x14ac:dyDescent="0.25">
      <c r="B14" s="2" t="s">
        <v>16</v>
      </c>
    </row>
    <row r="15" spans="2:2" x14ac:dyDescent="0.25">
      <c r="B15" s="2" t="s">
        <v>17</v>
      </c>
    </row>
    <row r="16" spans="2:2" x14ac:dyDescent="0.25">
      <c r="B16" s="2" t="s">
        <v>18</v>
      </c>
    </row>
    <row r="17" spans="2:2" x14ac:dyDescent="0.25">
      <c r="B17" s="2" t="s">
        <v>19</v>
      </c>
    </row>
    <row r="18" spans="2:2" x14ac:dyDescent="0.25">
      <c r="B18" s="2" t="s">
        <v>19</v>
      </c>
    </row>
    <row r="19" spans="2:2" x14ac:dyDescent="0.25">
      <c r="B19" s="2" t="s">
        <v>20</v>
      </c>
    </row>
    <row r="20" spans="2:2" x14ac:dyDescent="0.25">
      <c r="B20" s="2" t="s">
        <v>21</v>
      </c>
    </row>
    <row r="21" spans="2:2" x14ac:dyDescent="0.25">
      <c r="B21" s="2" t="s">
        <v>22</v>
      </c>
    </row>
    <row r="22" spans="2:2" x14ac:dyDescent="0.25">
      <c r="B22" s="2" t="s">
        <v>23</v>
      </c>
    </row>
    <row r="23" spans="2:2" x14ac:dyDescent="0.25">
      <c r="B23" s="2" t="s">
        <v>24</v>
      </c>
    </row>
    <row r="24" spans="2:2" x14ac:dyDescent="0.25">
      <c r="B24" s="2" t="s">
        <v>25</v>
      </c>
    </row>
    <row r="25" spans="2:2" x14ac:dyDescent="0.25">
      <c r="B25" s="2" t="s">
        <v>26</v>
      </c>
    </row>
    <row r="26" spans="2:2" x14ac:dyDescent="0.25">
      <c r="B26" s="2" t="s">
        <v>27</v>
      </c>
    </row>
    <row r="27" spans="2:2" x14ac:dyDescent="0.25">
      <c r="B27" s="2" t="s">
        <v>28</v>
      </c>
    </row>
    <row r="28" spans="2:2" x14ac:dyDescent="0.25">
      <c r="B28" s="2" t="s">
        <v>29</v>
      </c>
    </row>
    <row r="29" spans="2:2" x14ac:dyDescent="0.25">
      <c r="B29" s="2" t="s">
        <v>30</v>
      </c>
    </row>
    <row r="30" spans="2:2" x14ac:dyDescent="0.25">
      <c r="B30" s="2" t="s">
        <v>31</v>
      </c>
    </row>
    <row r="31" spans="2:2" x14ac:dyDescent="0.25">
      <c r="B31" s="2" t="s">
        <v>32</v>
      </c>
    </row>
    <row r="32" spans="2:2" x14ac:dyDescent="0.25">
      <c r="B32" s="2" t="s">
        <v>33</v>
      </c>
    </row>
    <row r="33" spans="2:2" x14ac:dyDescent="0.25">
      <c r="B33" s="2" t="s">
        <v>34</v>
      </c>
    </row>
    <row r="34" spans="2:2" x14ac:dyDescent="0.25">
      <c r="B34" s="2" t="s">
        <v>35</v>
      </c>
    </row>
    <row r="35" spans="2:2" x14ac:dyDescent="0.25">
      <c r="B35" s="2" t="s">
        <v>36</v>
      </c>
    </row>
    <row r="36" spans="2:2" x14ac:dyDescent="0.25">
      <c r="B36" s="2" t="s">
        <v>37</v>
      </c>
    </row>
    <row r="37" spans="2:2" x14ac:dyDescent="0.25">
      <c r="B37" s="2" t="s">
        <v>38</v>
      </c>
    </row>
    <row r="38" spans="2:2" x14ac:dyDescent="0.25">
      <c r="B38" s="2"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4A3DC-B778-4775-B481-D6953C2FC829}">
  <dimension ref="B2:Q37"/>
  <sheetViews>
    <sheetView zoomScale="79" zoomScaleNormal="79" workbookViewId="0"/>
  </sheetViews>
  <sheetFormatPr defaultRowHeight="15" x14ac:dyDescent="0.25"/>
  <cols>
    <col min="2" max="2" width="10.42578125" customWidth="1"/>
    <col min="3" max="3" width="16.28515625" bestFit="1" customWidth="1"/>
    <col min="4" max="4" width="19.42578125" bestFit="1" customWidth="1"/>
    <col min="5" max="5" width="16.5703125" bestFit="1" customWidth="1"/>
    <col min="6" max="7" width="10.28515625" customWidth="1"/>
    <col min="8" max="8" width="15.28515625" bestFit="1" customWidth="1"/>
    <col min="9" max="9" width="17.85546875" customWidth="1"/>
    <col min="10" max="10" width="18" customWidth="1"/>
    <col min="11" max="11" width="12.5703125" customWidth="1"/>
    <col min="12" max="12" width="11.5703125" customWidth="1"/>
    <col min="13" max="13" width="14.42578125" customWidth="1"/>
    <col min="14" max="14" width="17.5703125" bestFit="1" customWidth="1"/>
    <col min="15" max="15" width="24.85546875" bestFit="1" customWidth="1"/>
    <col min="16" max="16" width="16" bestFit="1" customWidth="1"/>
    <col min="17" max="17" width="13.7109375" customWidth="1"/>
    <col min="18" max="18" width="7.7109375" bestFit="1" customWidth="1"/>
  </cols>
  <sheetData>
    <row r="2" spans="2:17" x14ac:dyDescent="0.25">
      <c r="B2" s="2" t="s">
        <v>2</v>
      </c>
      <c r="C2" t="s">
        <v>169</v>
      </c>
      <c r="D2" t="s">
        <v>170</v>
      </c>
      <c r="E2" t="s">
        <v>221</v>
      </c>
      <c r="F2" t="s">
        <v>40</v>
      </c>
      <c r="G2" t="s">
        <v>171</v>
      </c>
      <c r="H2" t="s">
        <v>172</v>
      </c>
      <c r="I2" t="s">
        <v>173</v>
      </c>
      <c r="J2" t="s">
        <v>174</v>
      </c>
      <c r="K2" t="s">
        <v>175</v>
      </c>
      <c r="L2" t="s">
        <v>176</v>
      </c>
      <c r="M2" t="s">
        <v>177</v>
      </c>
      <c r="N2" t="s">
        <v>178</v>
      </c>
      <c r="O2" t="s">
        <v>41</v>
      </c>
      <c r="P2" t="s">
        <v>179</v>
      </c>
      <c r="Q2" t="s">
        <v>180</v>
      </c>
    </row>
    <row r="3" spans="2:17" x14ac:dyDescent="0.25">
      <c r="B3" s="2" t="s">
        <v>42</v>
      </c>
      <c r="C3" t="s">
        <v>43</v>
      </c>
      <c r="D3" t="s">
        <v>44</v>
      </c>
      <c r="E3" t="s">
        <v>45</v>
      </c>
      <c r="F3" t="s">
        <v>46</v>
      </c>
      <c r="G3">
        <v>1900</v>
      </c>
      <c r="H3" t="s">
        <v>47</v>
      </c>
      <c r="I3" s="8">
        <v>12500</v>
      </c>
      <c r="J3" s="4">
        <v>5000000</v>
      </c>
      <c r="K3" s="1">
        <v>45672</v>
      </c>
      <c r="L3" s="1">
        <v>46037</v>
      </c>
      <c r="M3" s="1" t="s">
        <v>1</v>
      </c>
      <c r="N3" s="6">
        <v>9171234567</v>
      </c>
      <c r="O3" s="7" t="s">
        <v>153</v>
      </c>
      <c r="P3" s="25" t="s">
        <v>166</v>
      </c>
      <c r="Q3" s="7" t="s">
        <v>48</v>
      </c>
    </row>
    <row r="4" spans="2:17" x14ac:dyDescent="0.25">
      <c r="B4" s="2" t="s">
        <v>186</v>
      </c>
      <c r="C4" s="7" t="s">
        <v>167</v>
      </c>
      <c r="D4" t="s">
        <v>49</v>
      </c>
      <c r="E4" t="s">
        <v>50</v>
      </c>
      <c r="F4" t="s">
        <v>46</v>
      </c>
      <c r="G4">
        <v>1940</v>
      </c>
      <c r="H4" t="s">
        <v>66</v>
      </c>
      <c r="I4" s="8">
        <v>15000</v>
      </c>
      <c r="J4" s="4">
        <v>7500000</v>
      </c>
      <c r="K4" s="1">
        <v>45932</v>
      </c>
      <c r="L4" s="1">
        <v>46297</v>
      </c>
      <c r="M4" s="1" t="s">
        <v>0</v>
      </c>
      <c r="N4" s="6" t="s">
        <v>51</v>
      </c>
      <c r="O4" t="s">
        <v>52</v>
      </c>
      <c r="P4" t="s">
        <v>53</v>
      </c>
      <c r="Q4" s="7" t="s">
        <v>48</v>
      </c>
    </row>
    <row r="5" spans="2:17" x14ac:dyDescent="0.25">
      <c r="B5" s="2" t="s">
        <v>187</v>
      </c>
      <c r="C5" t="s">
        <v>54</v>
      </c>
      <c r="D5" t="s">
        <v>55</v>
      </c>
      <c r="E5" t="s">
        <v>56</v>
      </c>
      <c r="F5" t="s">
        <v>46</v>
      </c>
      <c r="G5">
        <v>1920</v>
      </c>
      <c r="H5" t="s">
        <v>47</v>
      </c>
      <c r="I5" s="8">
        <v>13200</v>
      </c>
      <c r="J5" s="4">
        <v>5000000</v>
      </c>
      <c r="K5" s="1">
        <v>45717</v>
      </c>
      <c r="L5" s="1">
        <v>46082</v>
      </c>
      <c r="M5" s="1" t="s">
        <v>1</v>
      </c>
      <c r="N5" s="6">
        <v>9171238899</v>
      </c>
      <c r="O5" s="7" t="s">
        <v>154</v>
      </c>
      <c r="P5" t="s">
        <v>57</v>
      </c>
      <c r="Q5" s="7" t="s">
        <v>48</v>
      </c>
    </row>
    <row r="6" spans="2:17" x14ac:dyDescent="0.25">
      <c r="B6" s="2" t="s">
        <v>188</v>
      </c>
      <c r="C6" t="s">
        <v>58</v>
      </c>
      <c r="D6" t="s">
        <v>59</v>
      </c>
      <c r="E6" t="s">
        <v>60</v>
      </c>
      <c r="F6" t="s">
        <v>46</v>
      </c>
      <c r="G6">
        <v>1870</v>
      </c>
      <c r="H6" t="s">
        <v>61</v>
      </c>
      <c r="I6" s="8">
        <v>14500</v>
      </c>
      <c r="J6" s="4">
        <v>6500000</v>
      </c>
      <c r="K6" s="1">
        <v>45767</v>
      </c>
      <c r="L6" s="1">
        <v>46132</v>
      </c>
      <c r="M6" s="1" t="s">
        <v>3</v>
      </c>
      <c r="N6" s="6">
        <v>9182234455</v>
      </c>
      <c r="O6" s="7" t="s">
        <v>155</v>
      </c>
      <c r="P6" t="s">
        <v>62</v>
      </c>
      <c r="Q6" s="7" t="s">
        <v>63</v>
      </c>
    </row>
    <row r="7" spans="2:17" x14ac:dyDescent="0.25">
      <c r="B7" s="2" t="s">
        <v>189</v>
      </c>
      <c r="C7" t="s">
        <v>64</v>
      </c>
      <c r="D7" t="s">
        <v>65</v>
      </c>
      <c r="E7" t="s">
        <v>45</v>
      </c>
      <c r="F7" t="s">
        <v>46</v>
      </c>
      <c r="G7">
        <v>1900</v>
      </c>
      <c r="H7" t="s">
        <v>66</v>
      </c>
      <c r="I7" s="8">
        <v>17500</v>
      </c>
      <c r="J7" s="4">
        <v>8500000</v>
      </c>
      <c r="K7" s="1">
        <v>45996</v>
      </c>
      <c r="L7" s="1">
        <v>46361</v>
      </c>
      <c r="M7" s="1" t="s">
        <v>0</v>
      </c>
      <c r="N7" s="6">
        <v>9181231234</v>
      </c>
      <c r="O7" t="s">
        <v>67</v>
      </c>
      <c r="P7" t="s">
        <v>68</v>
      </c>
      <c r="Q7" s="7" t="s">
        <v>69</v>
      </c>
    </row>
    <row r="8" spans="2:17" x14ac:dyDescent="0.25">
      <c r="B8" s="2" t="s">
        <v>190</v>
      </c>
      <c r="C8" t="s">
        <v>70</v>
      </c>
      <c r="D8" t="s">
        <v>71</v>
      </c>
      <c r="E8" t="s">
        <v>50</v>
      </c>
      <c r="F8" t="s">
        <v>46</v>
      </c>
      <c r="G8">
        <v>1940</v>
      </c>
      <c r="H8" t="s">
        <v>47</v>
      </c>
      <c r="I8" s="8">
        <v>12000</v>
      </c>
      <c r="J8" s="4">
        <v>4500000</v>
      </c>
      <c r="K8" s="1">
        <v>45809</v>
      </c>
      <c r="L8" s="1">
        <v>46174</v>
      </c>
      <c r="M8" s="1" t="s">
        <v>1</v>
      </c>
      <c r="N8" s="6">
        <v>9171110000</v>
      </c>
      <c r="O8" s="7" t="s">
        <v>156</v>
      </c>
      <c r="P8" t="s">
        <v>72</v>
      </c>
      <c r="Q8" s="7" t="s">
        <v>48</v>
      </c>
    </row>
    <row r="9" spans="2:17" x14ac:dyDescent="0.25">
      <c r="B9" s="2" t="s">
        <v>191</v>
      </c>
      <c r="C9" t="s">
        <v>73</v>
      </c>
      <c r="D9" t="s">
        <v>74</v>
      </c>
      <c r="E9" t="s">
        <v>56</v>
      </c>
      <c r="F9" t="s">
        <v>46</v>
      </c>
      <c r="G9">
        <v>1920</v>
      </c>
      <c r="H9" t="s">
        <v>47</v>
      </c>
      <c r="I9" s="8">
        <v>500</v>
      </c>
      <c r="J9" s="4">
        <v>5000000</v>
      </c>
      <c r="K9" s="1">
        <v>45852</v>
      </c>
      <c r="L9" s="1">
        <v>46217</v>
      </c>
      <c r="M9" s="1" t="s">
        <v>1</v>
      </c>
      <c r="N9" s="6">
        <v>9175556666</v>
      </c>
      <c r="O9" t="s">
        <v>75</v>
      </c>
      <c r="P9" t="s">
        <v>76</v>
      </c>
      <c r="Q9" s="7" t="s">
        <v>48</v>
      </c>
    </row>
    <row r="10" spans="2:17" x14ac:dyDescent="0.25">
      <c r="B10" s="2" t="s">
        <v>192</v>
      </c>
      <c r="C10" t="s">
        <v>77</v>
      </c>
      <c r="D10" t="s">
        <v>78</v>
      </c>
      <c r="E10" t="s">
        <v>45</v>
      </c>
      <c r="F10" t="s">
        <v>46</v>
      </c>
      <c r="G10">
        <v>1900</v>
      </c>
      <c r="H10" t="s">
        <v>66</v>
      </c>
      <c r="I10" s="8">
        <v>16000</v>
      </c>
      <c r="J10" s="4">
        <v>7000000</v>
      </c>
      <c r="K10" s="1">
        <v>45665</v>
      </c>
      <c r="L10" s="1">
        <v>46061</v>
      </c>
      <c r="M10" s="1" t="s">
        <v>0</v>
      </c>
      <c r="N10" s="6">
        <v>9178889999</v>
      </c>
      <c r="O10" s="7" t="s">
        <v>157</v>
      </c>
      <c r="P10" s="25" t="s">
        <v>79</v>
      </c>
      <c r="Q10" s="7" t="s">
        <v>80</v>
      </c>
    </row>
    <row r="11" spans="2:17" x14ac:dyDescent="0.25">
      <c r="B11" s="2" t="s">
        <v>193</v>
      </c>
      <c r="C11" t="s">
        <v>81</v>
      </c>
      <c r="D11" t="s">
        <v>82</v>
      </c>
      <c r="E11" t="s">
        <v>50</v>
      </c>
      <c r="F11" t="s">
        <v>46</v>
      </c>
      <c r="G11" s="3">
        <v>1940</v>
      </c>
      <c r="H11" t="s">
        <v>61</v>
      </c>
      <c r="I11" s="8">
        <v>14000</v>
      </c>
      <c r="J11" s="4">
        <v>6200000</v>
      </c>
      <c r="K11" s="1">
        <v>45891</v>
      </c>
      <c r="L11" s="1">
        <v>46256</v>
      </c>
      <c r="M11" s="5" t="s">
        <v>1</v>
      </c>
      <c r="N11" s="6">
        <v>9172345678</v>
      </c>
      <c r="O11" t="s">
        <v>83</v>
      </c>
      <c r="P11" t="s">
        <v>57</v>
      </c>
      <c r="Q11" s="7" t="s">
        <v>48</v>
      </c>
    </row>
    <row r="12" spans="2:17" x14ac:dyDescent="0.25">
      <c r="B12" s="2" t="s">
        <v>194</v>
      </c>
      <c r="C12" t="s">
        <v>84</v>
      </c>
      <c r="D12" t="s">
        <v>85</v>
      </c>
      <c r="E12" t="s">
        <v>60</v>
      </c>
      <c r="F12" t="s">
        <v>46</v>
      </c>
      <c r="G12">
        <v>1870</v>
      </c>
      <c r="H12" t="s">
        <v>61</v>
      </c>
      <c r="I12" s="8">
        <v>15000</v>
      </c>
      <c r="J12" s="4">
        <v>6800000</v>
      </c>
      <c r="K12" s="1">
        <v>45901</v>
      </c>
      <c r="L12" s="1">
        <v>46266</v>
      </c>
      <c r="M12" s="5" t="s">
        <v>0</v>
      </c>
      <c r="N12" s="6">
        <v>9177771111</v>
      </c>
      <c r="O12" t="s">
        <v>86</v>
      </c>
      <c r="P12" t="s">
        <v>53</v>
      </c>
      <c r="Q12" s="7" t="s">
        <v>63</v>
      </c>
    </row>
    <row r="13" spans="2:17" x14ac:dyDescent="0.25">
      <c r="B13" s="2" t="s">
        <v>195</v>
      </c>
      <c r="C13" t="s">
        <v>87</v>
      </c>
      <c r="D13" t="s">
        <v>88</v>
      </c>
      <c r="E13" t="s">
        <v>45</v>
      </c>
      <c r="F13" t="s">
        <v>46</v>
      </c>
      <c r="G13">
        <v>1900</v>
      </c>
      <c r="H13" t="s">
        <v>47</v>
      </c>
      <c r="I13" s="8">
        <v>13000</v>
      </c>
      <c r="J13" s="4">
        <v>5000000</v>
      </c>
      <c r="K13" s="1">
        <v>45940</v>
      </c>
      <c r="L13" s="1">
        <v>46305</v>
      </c>
      <c r="M13" s="5" t="s">
        <v>1</v>
      </c>
      <c r="N13" s="6">
        <v>9189998888</v>
      </c>
      <c r="O13" t="s">
        <v>89</v>
      </c>
      <c r="P13" s="7" t="s">
        <v>62</v>
      </c>
      <c r="Q13" s="7" t="s">
        <v>48</v>
      </c>
    </row>
    <row r="14" spans="2:17" x14ac:dyDescent="0.25">
      <c r="B14" s="2" t="s">
        <v>196</v>
      </c>
      <c r="C14" t="s">
        <v>90</v>
      </c>
      <c r="D14" t="s">
        <v>91</v>
      </c>
      <c r="E14" t="s">
        <v>56</v>
      </c>
      <c r="F14" t="s">
        <v>46</v>
      </c>
      <c r="G14">
        <v>1920</v>
      </c>
      <c r="H14" t="s">
        <v>61</v>
      </c>
      <c r="I14" s="8">
        <v>14500</v>
      </c>
      <c r="J14" s="4">
        <v>6500000</v>
      </c>
      <c r="K14" s="1">
        <v>45972</v>
      </c>
      <c r="L14" s="1">
        <v>46337</v>
      </c>
      <c r="M14" s="1" t="s">
        <v>1</v>
      </c>
      <c r="N14" s="6">
        <v>9171239876</v>
      </c>
      <c r="O14" s="7" t="s">
        <v>158</v>
      </c>
      <c r="P14" t="s">
        <v>68</v>
      </c>
      <c r="Q14" s="7" t="s">
        <v>69</v>
      </c>
    </row>
    <row r="15" spans="2:17" x14ac:dyDescent="0.25">
      <c r="B15" s="2" t="s">
        <v>197</v>
      </c>
      <c r="C15" t="s">
        <v>92</v>
      </c>
      <c r="D15" t="s">
        <v>93</v>
      </c>
      <c r="E15" t="s">
        <v>60</v>
      </c>
      <c r="F15" t="s">
        <v>46</v>
      </c>
      <c r="G15">
        <v>1870</v>
      </c>
      <c r="H15" t="s">
        <v>47</v>
      </c>
      <c r="I15" s="8">
        <v>12800</v>
      </c>
      <c r="J15" s="4">
        <v>4800000</v>
      </c>
      <c r="K15" s="1">
        <v>45992</v>
      </c>
      <c r="L15" s="1">
        <v>46357</v>
      </c>
      <c r="M15" s="1" t="s">
        <v>0</v>
      </c>
      <c r="N15" s="6">
        <v>9181239999</v>
      </c>
      <c r="O15" s="7" t="s">
        <v>151</v>
      </c>
      <c r="P15" t="s">
        <v>76</v>
      </c>
      <c r="Q15" s="7" t="s">
        <v>80</v>
      </c>
    </row>
    <row r="16" spans="2:17" x14ac:dyDescent="0.25">
      <c r="B16" s="2" t="s">
        <v>198</v>
      </c>
      <c r="C16" s="7" t="s">
        <v>168</v>
      </c>
      <c r="D16" t="s">
        <v>94</v>
      </c>
      <c r="E16" t="s">
        <v>50</v>
      </c>
      <c r="F16" t="s">
        <v>46</v>
      </c>
      <c r="G16">
        <v>1940</v>
      </c>
      <c r="H16" t="s">
        <v>66</v>
      </c>
      <c r="I16" s="8">
        <v>18000</v>
      </c>
      <c r="J16" s="4">
        <v>9000000</v>
      </c>
      <c r="K16" s="1">
        <v>46006</v>
      </c>
      <c r="L16" s="1">
        <v>46371</v>
      </c>
      <c r="M16" s="1" t="s">
        <v>1</v>
      </c>
      <c r="N16" s="6">
        <v>9171111222</v>
      </c>
      <c r="O16" t="s">
        <v>95</v>
      </c>
      <c r="P16" s="25" t="s">
        <v>79</v>
      </c>
      <c r="Q16" s="7" t="s">
        <v>48</v>
      </c>
    </row>
    <row r="17" spans="2:17" x14ac:dyDescent="0.25">
      <c r="B17" s="2" t="s">
        <v>199</v>
      </c>
      <c r="C17" t="s">
        <v>96</v>
      </c>
      <c r="D17" t="s">
        <v>97</v>
      </c>
      <c r="E17" t="s">
        <v>45</v>
      </c>
      <c r="F17" t="s">
        <v>46</v>
      </c>
      <c r="G17">
        <v>1900</v>
      </c>
      <c r="H17" t="s">
        <v>61</v>
      </c>
      <c r="I17" s="8">
        <v>14500</v>
      </c>
      <c r="J17" s="4">
        <v>6500000</v>
      </c>
      <c r="K17" s="1">
        <v>45662</v>
      </c>
      <c r="L17" s="1">
        <v>46027</v>
      </c>
      <c r="M17" s="1" t="s">
        <v>1</v>
      </c>
      <c r="N17" s="6">
        <v>9176667777</v>
      </c>
      <c r="O17" t="s">
        <v>98</v>
      </c>
      <c r="P17" t="s">
        <v>57</v>
      </c>
      <c r="Q17" s="7" t="s">
        <v>48</v>
      </c>
    </row>
    <row r="18" spans="2:17" x14ac:dyDescent="0.25">
      <c r="B18" s="2" t="s">
        <v>200</v>
      </c>
      <c r="C18" t="s">
        <v>99</v>
      </c>
      <c r="D18" t="s">
        <v>100</v>
      </c>
      <c r="E18" t="s">
        <v>56</v>
      </c>
      <c r="F18" t="s">
        <v>46</v>
      </c>
      <c r="G18">
        <v>1920</v>
      </c>
      <c r="H18" t="s">
        <v>47</v>
      </c>
      <c r="I18" s="8" t="s">
        <v>3</v>
      </c>
      <c r="J18" s="4">
        <v>5000000</v>
      </c>
      <c r="K18" s="1">
        <v>45702</v>
      </c>
      <c r="L18" s="1">
        <v>46067</v>
      </c>
      <c r="M18" s="1" t="s">
        <v>1</v>
      </c>
      <c r="N18" s="6">
        <v>9172340000</v>
      </c>
      <c r="O18" s="7" t="s">
        <v>159</v>
      </c>
      <c r="P18" t="s">
        <v>53</v>
      </c>
      <c r="Q18" s="7" t="s">
        <v>48</v>
      </c>
    </row>
    <row r="19" spans="2:17" x14ac:dyDescent="0.25">
      <c r="B19" s="2" t="s">
        <v>201</v>
      </c>
      <c r="C19" t="s">
        <v>101</v>
      </c>
      <c r="D19" t="s">
        <v>102</v>
      </c>
      <c r="E19" t="s">
        <v>60</v>
      </c>
      <c r="F19" t="s">
        <v>46</v>
      </c>
      <c r="G19">
        <v>1870</v>
      </c>
      <c r="H19" t="s">
        <v>61</v>
      </c>
      <c r="I19" s="8">
        <v>15500</v>
      </c>
      <c r="J19" s="4">
        <v>7000000</v>
      </c>
      <c r="K19" s="1">
        <v>45736</v>
      </c>
      <c r="L19" s="1">
        <v>46101</v>
      </c>
      <c r="M19" s="1" t="s">
        <v>0</v>
      </c>
      <c r="N19" s="6">
        <v>9171230000</v>
      </c>
      <c r="O19" s="7" t="s">
        <v>160</v>
      </c>
      <c r="P19" t="s">
        <v>68</v>
      </c>
      <c r="Q19" s="7" t="s">
        <v>63</v>
      </c>
    </row>
    <row r="20" spans="2:17" x14ac:dyDescent="0.25">
      <c r="B20" s="2" t="s">
        <v>202</v>
      </c>
      <c r="C20" t="s">
        <v>103</v>
      </c>
      <c r="D20" t="s">
        <v>104</v>
      </c>
      <c r="E20" t="s">
        <v>45</v>
      </c>
      <c r="F20" t="s">
        <v>46</v>
      </c>
      <c r="G20">
        <v>1900</v>
      </c>
      <c r="H20" t="s">
        <v>47</v>
      </c>
      <c r="I20" s="8">
        <v>12500</v>
      </c>
      <c r="J20" s="4">
        <v>5000000</v>
      </c>
      <c r="K20" s="1">
        <v>45765</v>
      </c>
      <c r="L20" s="1">
        <v>46131</v>
      </c>
      <c r="M20" s="5" t="s">
        <v>1</v>
      </c>
      <c r="N20" s="6">
        <v>9175550000</v>
      </c>
      <c r="O20" t="s">
        <v>105</v>
      </c>
      <c r="P20" t="s">
        <v>76</v>
      </c>
      <c r="Q20" s="7" t="s">
        <v>48</v>
      </c>
    </row>
    <row r="21" spans="2:17" x14ac:dyDescent="0.25">
      <c r="B21" s="2" t="s">
        <v>203</v>
      </c>
      <c r="C21" t="s">
        <v>106</v>
      </c>
      <c r="D21" t="s">
        <v>107</v>
      </c>
      <c r="E21" t="s">
        <v>50</v>
      </c>
      <c r="F21" t="s">
        <v>46</v>
      </c>
      <c r="G21">
        <v>1940</v>
      </c>
      <c r="H21" t="s">
        <v>66</v>
      </c>
      <c r="I21" s="8">
        <v>19000</v>
      </c>
      <c r="J21" s="4">
        <v>9500000</v>
      </c>
      <c r="K21" s="1">
        <v>45802</v>
      </c>
      <c r="L21" s="1">
        <v>46167</v>
      </c>
      <c r="M21" s="5" t="s">
        <v>0</v>
      </c>
      <c r="N21" s="6">
        <v>9179991111</v>
      </c>
      <c r="O21" t="s">
        <v>108</v>
      </c>
      <c r="P21" s="25" t="s">
        <v>79</v>
      </c>
      <c r="Q21" s="7" t="s">
        <v>69</v>
      </c>
    </row>
    <row r="22" spans="2:17" x14ac:dyDescent="0.25">
      <c r="B22" s="2" t="s">
        <v>204</v>
      </c>
      <c r="C22" t="s">
        <v>109</v>
      </c>
      <c r="D22" t="s">
        <v>110</v>
      </c>
      <c r="E22" t="s">
        <v>56</v>
      </c>
      <c r="F22" t="s">
        <v>46</v>
      </c>
      <c r="G22">
        <v>1920</v>
      </c>
      <c r="H22" t="s">
        <v>61</v>
      </c>
      <c r="I22" s="8">
        <v>15000</v>
      </c>
      <c r="J22" s="4">
        <v>6800000</v>
      </c>
      <c r="K22" s="1">
        <v>45838</v>
      </c>
      <c r="L22" s="1">
        <v>46203</v>
      </c>
      <c r="M22" s="1" t="s">
        <v>3</v>
      </c>
      <c r="N22" s="6">
        <v>9178889999</v>
      </c>
      <c r="O22" s="7" t="s">
        <v>161</v>
      </c>
      <c r="P22" t="s">
        <v>62</v>
      </c>
      <c r="Q22" s="7" t="s">
        <v>80</v>
      </c>
    </row>
    <row r="23" spans="2:17" x14ac:dyDescent="0.25">
      <c r="B23" s="2" t="s">
        <v>205</v>
      </c>
      <c r="C23" t="s">
        <v>111</v>
      </c>
      <c r="D23" t="s">
        <v>112</v>
      </c>
      <c r="E23" t="s">
        <v>45</v>
      </c>
      <c r="F23" t="s">
        <v>46</v>
      </c>
      <c r="G23">
        <v>1900</v>
      </c>
      <c r="H23" t="s">
        <v>66</v>
      </c>
      <c r="I23" s="8">
        <v>17500</v>
      </c>
      <c r="J23" s="4">
        <v>8500000</v>
      </c>
      <c r="K23" s="1">
        <v>45845</v>
      </c>
      <c r="L23" s="1">
        <v>46241</v>
      </c>
      <c r="M23" s="1" t="s">
        <v>1</v>
      </c>
      <c r="N23" s="6">
        <v>9173334444</v>
      </c>
      <c r="O23" s="7" t="s">
        <v>162</v>
      </c>
      <c r="P23" t="s">
        <v>57</v>
      </c>
      <c r="Q23" s="7" t="s">
        <v>48</v>
      </c>
    </row>
    <row r="24" spans="2:17" x14ac:dyDescent="0.25">
      <c r="B24" s="2" t="s">
        <v>206</v>
      </c>
      <c r="C24" t="s">
        <v>113</v>
      </c>
      <c r="D24" t="s">
        <v>114</v>
      </c>
      <c r="E24" t="s">
        <v>60</v>
      </c>
      <c r="F24" t="s">
        <v>46</v>
      </c>
      <c r="G24">
        <v>1870</v>
      </c>
      <c r="H24" t="s">
        <v>47</v>
      </c>
      <c r="I24" s="8">
        <v>12000</v>
      </c>
      <c r="J24" s="4">
        <v>4500000</v>
      </c>
      <c r="K24" s="1">
        <v>45884</v>
      </c>
      <c r="L24" s="1">
        <v>46249</v>
      </c>
      <c r="M24" s="1" t="s">
        <v>0</v>
      </c>
      <c r="N24" s="6">
        <v>9175557777</v>
      </c>
      <c r="O24" t="s">
        <v>115</v>
      </c>
      <c r="P24" t="s">
        <v>53</v>
      </c>
      <c r="Q24" s="7" t="s">
        <v>48</v>
      </c>
    </row>
    <row r="25" spans="2:17" x14ac:dyDescent="0.25">
      <c r="B25" s="2" t="s">
        <v>207</v>
      </c>
      <c r="C25" t="s">
        <v>116</v>
      </c>
      <c r="D25" t="s">
        <v>117</v>
      </c>
      <c r="E25" t="s">
        <v>56</v>
      </c>
      <c r="F25" t="s">
        <v>46</v>
      </c>
      <c r="G25">
        <v>1920</v>
      </c>
      <c r="H25" t="s">
        <v>61</v>
      </c>
      <c r="I25" s="8">
        <v>500</v>
      </c>
      <c r="J25" s="4">
        <v>6500000</v>
      </c>
      <c r="K25" s="1">
        <v>45909</v>
      </c>
      <c r="L25" s="1">
        <v>46274</v>
      </c>
      <c r="M25" s="1" t="s">
        <v>1</v>
      </c>
      <c r="N25" s="6">
        <v>9176661111</v>
      </c>
      <c r="O25" s="7" t="s">
        <v>163</v>
      </c>
      <c r="P25" t="s">
        <v>68</v>
      </c>
      <c r="Q25" s="7" t="s">
        <v>63</v>
      </c>
    </row>
    <row r="26" spans="2:17" x14ac:dyDescent="0.25">
      <c r="B26" s="2" t="s">
        <v>208</v>
      </c>
      <c r="C26" t="s">
        <v>118</v>
      </c>
      <c r="D26" t="s">
        <v>119</v>
      </c>
      <c r="E26" t="s">
        <v>45</v>
      </c>
      <c r="F26" t="s">
        <v>46</v>
      </c>
      <c r="G26">
        <v>1900</v>
      </c>
      <c r="H26" t="s">
        <v>66</v>
      </c>
      <c r="I26" s="8">
        <v>20000</v>
      </c>
      <c r="J26" s="4">
        <v>10000000</v>
      </c>
      <c r="K26" s="1">
        <v>45940</v>
      </c>
      <c r="L26" s="1">
        <v>46305</v>
      </c>
      <c r="M26" s="1" t="s">
        <v>1</v>
      </c>
      <c r="N26" s="6">
        <v>9174445555</v>
      </c>
      <c r="O26" t="s">
        <v>120</v>
      </c>
      <c r="P26" t="s">
        <v>79</v>
      </c>
      <c r="Q26" s="7" t="s">
        <v>48</v>
      </c>
    </row>
    <row r="27" spans="2:17" x14ac:dyDescent="0.25">
      <c r="B27" s="2" t="s">
        <v>209</v>
      </c>
      <c r="C27" t="s">
        <v>121</v>
      </c>
      <c r="D27" t="s">
        <v>122</v>
      </c>
      <c r="E27" t="s">
        <v>50</v>
      </c>
      <c r="F27" t="s">
        <v>46</v>
      </c>
      <c r="G27">
        <v>1940</v>
      </c>
      <c r="H27" t="s">
        <v>47</v>
      </c>
      <c r="I27" s="8">
        <v>11800</v>
      </c>
      <c r="J27" s="4">
        <v>4700000</v>
      </c>
      <c r="K27" s="1">
        <v>45979</v>
      </c>
      <c r="L27" s="1">
        <v>46344</v>
      </c>
      <c r="M27" s="5" t="s">
        <v>0</v>
      </c>
      <c r="N27" s="6">
        <v>9178887777</v>
      </c>
      <c r="O27" s="7" t="s">
        <v>164</v>
      </c>
      <c r="P27" t="s">
        <v>76</v>
      </c>
      <c r="Q27" s="7" t="s">
        <v>69</v>
      </c>
    </row>
    <row r="28" spans="2:17" x14ac:dyDescent="0.25">
      <c r="B28" s="2" t="s">
        <v>210</v>
      </c>
      <c r="C28" t="s">
        <v>123</v>
      </c>
      <c r="D28" t="s">
        <v>124</v>
      </c>
      <c r="E28" t="s">
        <v>60</v>
      </c>
      <c r="F28" t="s">
        <v>46</v>
      </c>
      <c r="G28">
        <v>1870</v>
      </c>
      <c r="H28" t="s">
        <v>61</v>
      </c>
      <c r="I28" s="8">
        <v>15000</v>
      </c>
      <c r="J28" s="4">
        <v>6500000</v>
      </c>
      <c r="K28" s="1">
        <v>46011</v>
      </c>
      <c r="L28" s="1">
        <v>46377</v>
      </c>
      <c r="M28" s="5" t="s">
        <v>1</v>
      </c>
      <c r="N28" s="6">
        <v>9170001111</v>
      </c>
      <c r="O28" t="s">
        <v>125</v>
      </c>
      <c r="P28" t="s">
        <v>62</v>
      </c>
      <c r="Q28" s="7" t="s">
        <v>80</v>
      </c>
    </row>
    <row r="29" spans="2:17" x14ac:dyDescent="0.25">
      <c r="B29" s="2" t="s">
        <v>211</v>
      </c>
      <c r="C29" t="s">
        <v>126</v>
      </c>
      <c r="D29" t="s">
        <v>127</v>
      </c>
      <c r="E29" t="s">
        <v>45</v>
      </c>
      <c r="F29" t="s">
        <v>46</v>
      </c>
      <c r="G29">
        <v>1900</v>
      </c>
      <c r="H29" t="s">
        <v>66</v>
      </c>
      <c r="I29" s="8">
        <v>18500</v>
      </c>
      <c r="J29" s="4">
        <v>9200000</v>
      </c>
      <c r="K29" s="1">
        <v>45682</v>
      </c>
      <c r="L29" s="1">
        <v>46047</v>
      </c>
      <c r="M29" s="1" t="s">
        <v>1</v>
      </c>
      <c r="N29" s="6">
        <v>9179990000</v>
      </c>
      <c r="O29" t="s">
        <v>128</v>
      </c>
      <c r="P29" t="s">
        <v>57</v>
      </c>
      <c r="Q29" s="7" t="s">
        <v>48</v>
      </c>
    </row>
    <row r="30" spans="2:17" x14ac:dyDescent="0.25">
      <c r="B30" s="2" t="s">
        <v>212</v>
      </c>
      <c r="C30" t="s">
        <v>129</v>
      </c>
      <c r="D30" t="s">
        <v>130</v>
      </c>
      <c r="E30" t="s">
        <v>56</v>
      </c>
      <c r="F30" t="s">
        <v>46</v>
      </c>
      <c r="G30">
        <v>1920</v>
      </c>
      <c r="H30" t="s">
        <v>47</v>
      </c>
      <c r="I30" s="8">
        <v>12500</v>
      </c>
      <c r="J30" s="4">
        <v>5000000</v>
      </c>
      <c r="K30" s="1">
        <v>45716</v>
      </c>
      <c r="L30" s="1">
        <v>46081</v>
      </c>
      <c r="M30" s="1" t="s">
        <v>0</v>
      </c>
      <c r="N30" s="6">
        <v>9173334444</v>
      </c>
      <c r="O30" t="s">
        <v>131</v>
      </c>
      <c r="P30" t="s">
        <v>68</v>
      </c>
      <c r="Q30" s="7" t="s">
        <v>63</v>
      </c>
    </row>
    <row r="31" spans="2:17" x14ac:dyDescent="0.25">
      <c r="B31" s="2" t="s">
        <v>213</v>
      </c>
      <c r="C31" t="s">
        <v>132</v>
      </c>
      <c r="D31" t="s">
        <v>133</v>
      </c>
      <c r="E31" t="s">
        <v>60</v>
      </c>
      <c r="F31" t="s">
        <v>46</v>
      </c>
      <c r="G31">
        <v>1870</v>
      </c>
      <c r="H31" t="s">
        <v>61</v>
      </c>
      <c r="I31" s="8">
        <v>14800</v>
      </c>
      <c r="J31" s="4">
        <v>6600000</v>
      </c>
      <c r="K31" s="1">
        <v>45746</v>
      </c>
      <c r="L31" s="1">
        <v>46111</v>
      </c>
      <c r="M31" s="1" t="s">
        <v>1</v>
      </c>
      <c r="N31" s="6">
        <v>9182223333</v>
      </c>
      <c r="O31" s="7" t="s">
        <v>165</v>
      </c>
      <c r="P31" t="s">
        <v>53</v>
      </c>
      <c r="Q31" s="7" t="s">
        <v>48</v>
      </c>
    </row>
    <row r="32" spans="2:17" x14ac:dyDescent="0.25">
      <c r="B32" s="2" t="s">
        <v>214</v>
      </c>
      <c r="C32" t="s">
        <v>134</v>
      </c>
      <c r="D32" t="s">
        <v>135</v>
      </c>
      <c r="E32" t="s">
        <v>50</v>
      </c>
      <c r="F32" t="s">
        <v>46</v>
      </c>
      <c r="G32">
        <v>1940</v>
      </c>
      <c r="H32" t="s">
        <v>66</v>
      </c>
      <c r="I32" s="8">
        <v>19500</v>
      </c>
      <c r="J32" s="4">
        <v>9800000</v>
      </c>
      <c r="K32" s="1">
        <v>45758</v>
      </c>
      <c r="L32" s="1">
        <v>46153</v>
      </c>
      <c r="M32" s="1" t="s">
        <v>0</v>
      </c>
      <c r="N32" s="6">
        <v>9173332222</v>
      </c>
      <c r="O32" t="s">
        <v>136</v>
      </c>
      <c r="P32" t="s">
        <v>79</v>
      </c>
      <c r="Q32" s="7" t="s">
        <v>69</v>
      </c>
    </row>
    <row r="33" spans="2:17" x14ac:dyDescent="0.25">
      <c r="B33" s="2" t="s">
        <v>215</v>
      </c>
      <c r="C33" t="s">
        <v>137</v>
      </c>
      <c r="D33" t="s">
        <v>138</v>
      </c>
      <c r="E33" t="s">
        <v>45</v>
      </c>
      <c r="F33" t="s">
        <v>46</v>
      </c>
      <c r="G33">
        <v>1900</v>
      </c>
      <c r="H33" t="s">
        <v>47</v>
      </c>
      <c r="I33" s="8">
        <v>12200</v>
      </c>
      <c r="J33" s="4">
        <v>4900000</v>
      </c>
      <c r="K33" s="1">
        <v>45794</v>
      </c>
      <c r="L33" s="1">
        <v>46159</v>
      </c>
      <c r="M33" s="1" t="s">
        <v>1</v>
      </c>
      <c r="N33" s="6">
        <v>9175558888</v>
      </c>
      <c r="O33" t="s">
        <v>139</v>
      </c>
      <c r="P33" t="s">
        <v>76</v>
      </c>
      <c r="Q33" s="7" t="s">
        <v>80</v>
      </c>
    </row>
    <row r="34" spans="2:17" x14ac:dyDescent="0.25">
      <c r="B34" s="2" t="s">
        <v>216</v>
      </c>
      <c r="C34" t="s">
        <v>140</v>
      </c>
      <c r="D34" t="s">
        <v>141</v>
      </c>
      <c r="E34" t="s">
        <v>56</v>
      </c>
      <c r="F34" t="s">
        <v>46</v>
      </c>
      <c r="G34">
        <v>1920</v>
      </c>
      <c r="H34" t="s">
        <v>61</v>
      </c>
      <c r="I34" s="8">
        <v>15500</v>
      </c>
      <c r="J34" s="4">
        <v>7000000</v>
      </c>
      <c r="K34" s="1">
        <v>45814</v>
      </c>
      <c r="L34" s="1">
        <v>46209</v>
      </c>
      <c r="M34" s="1" t="s">
        <v>1</v>
      </c>
      <c r="N34" s="6">
        <v>9179994444</v>
      </c>
      <c r="O34" t="s">
        <v>142</v>
      </c>
      <c r="P34" t="s">
        <v>68</v>
      </c>
      <c r="Q34" s="7" t="s">
        <v>48</v>
      </c>
    </row>
    <row r="35" spans="2:17" x14ac:dyDescent="0.25">
      <c r="B35" s="2" t="s">
        <v>217</v>
      </c>
      <c r="C35" t="s">
        <v>143</v>
      </c>
      <c r="D35" t="s">
        <v>144</v>
      </c>
      <c r="E35" t="s">
        <v>60</v>
      </c>
      <c r="F35" t="s">
        <v>46</v>
      </c>
      <c r="G35">
        <v>1870</v>
      </c>
      <c r="H35" t="s">
        <v>47</v>
      </c>
      <c r="I35" s="8">
        <v>11900</v>
      </c>
      <c r="J35" s="4">
        <v>4600000</v>
      </c>
      <c r="K35" s="1">
        <v>45851</v>
      </c>
      <c r="L35" s="1">
        <v>46216</v>
      </c>
      <c r="M35" s="5" t="s">
        <v>1</v>
      </c>
      <c r="N35" s="6">
        <v>9176660000</v>
      </c>
      <c r="O35" t="s">
        <v>145</v>
      </c>
      <c r="P35" t="s">
        <v>53</v>
      </c>
      <c r="Q35" s="7" t="s">
        <v>63</v>
      </c>
    </row>
    <row r="36" spans="2:17" x14ac:dyDescent="0.25">
      <c r="B36" s="2" t="s">
        <v>218</v>
      </c>
      <c r="C36" t="s">
        <v>146</v>
      </c>
      <c r="D36" t="s">
        <v>147</v>
      </c>
      <c r="E36" t="s">
        <v>45</v>
      </c>
      <c r="F36" t="s">
        <v>46</v>
      </c>
      <c r="G36">
        <v>1900</v>
      </c>
      <c r="H36" t="s">
        <v>66</v>
      </c>
      <c r="I36" s="8">
        <v>18200</v>
      </c>
      <c r="J36" s="4">
        <v>9100000</v>
      </c>
      <c r="K36" s="1">
        <v>45877</v>
      </c>
      <c r="L36" s="1">
        <v>46273</v>
      </c>
      <c r="M36" s="1" t="s">
        <v>0</v>
      </c>
      <c r="N36" s="6">
        <v>9172221111</v>
      </c>
      <c r="O36" s="7" t="s">
        <v>152</v>
      </c>
      <c r="P36" s="25" t="s">
        <v>79</v>
      </c>
      <c r="Q36" s="7" t="s">
        <v>48</v>
      </c>
    </row>
    <row r="37" spans="2:17" x14ac:dyDescent="0.25">
      <c r="B37" s="2" t="s">
        <v>219</v>
      </c>
      <c r="C37" t="s">
        <v>148</v>
      </c>
      <c r="D37" t="s">
        <v>149</v>
      </c>
      <c r="E37" t="s">
        <v>56</v>
      </c>
      <c r="F37" t="s">
        <v>46</v>
      </c>
      <c r="G37">
        <v>1920</v>
      </c>
      <c r="H37" t="s">
        <v>61</v>
      </c>
      <c r="I37" s="8">
        <v>14900</v>
      </c>
      <c r="J37" s="4">
        <v>6700000</v>
      </c>
      <c r="K37" s="1">
        <v>45921</v>
      </c>
      <c r="L37" s="1">
        <v>46286</v>
      </c>
      <c r="M37" s="1" t="s">
        <v>1</v>
      </c>
      <c r="N37" s="6">
        <v>9178880000</v>
      </c>
      <c r="O37" t="s">
        <v>150</v>
      </c>
      <c r="P37" t="s">
        <v>57</v>
      </c>
      <c r="Q37" s="7" t="s">
        <v>80</v>
      </c>
    </row>
  </sheetData>
  <phoneticPr fontId="5" type="noConversion"/>
  <pageMargins left="0.7" right="0.7" top="0.75" bottom="0.75" header="0.3" footer="0.3"/>
  <pageSetup paperSize="9" orientation="portrait" horizontalDpi="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6E311-0145-4A14-89CF-C971F78CB98A}">
  <dimension ref="E3:P37"/>
  <sheetViews>
    <sheetView zoomScaleNormal="100" workbookViewId="0"/>
  </sheetViews>
  <sheetFormatPr defaultRowHeight="15" x14ac:dyDescent="0.25"/>
  <cols>
    <col min="1" max="1" width="13.140625" bestFit="1" customWidth="1"/>
    <col min="2" max="2" width="11.140625" customWidth="1"/>
    <col min="4" max="4" width="13.140625" bestFit="1" customWidth="1"/>
    <col min="5" max="5" width="18.7109375" bestFit="1" customWidth="1"/>
    <col min="6" max="6" width="16.7109375" bestFit="1" customWidth="1"/>
    <col min="7" max="7" width="7.28515625" customWidth="1"/>
    <col min="8" max="8" width="15" bestFit="1" customWidth="1"/>
    <col min="9" max="10" width="16.7109375" bestFit="1" customWidth="1"/>
    <col min="11" max="11" width="9.42578125" customWidth="1"/>
    <col min="12" max="12" width="15.140625" bestFit="1" customWidth="1"/>
    <col min="13" max="13" width="16.7109375" bestFit="1" customWidth="1"/>
    <col min="14" max="14" width="8.85546875" customWidth="1"/>
    <col min="15" max="15" width="21" bestFit="1" customWidth="1"/>
    <col min="16" max="16" width="18.85546875" bestFit="1" customWidth="1"/>
    <col min="17" max="17" width="16.7109375" bestFit="1" customWidth="1"/>
  </cols>
  <sheetData>
    <row r="3" spans="5:16" x14ac:dyDescent="0.25">
      <c r="E3" s="9" t="s">
        <v>181</v>
      </c>
      <c r="F3" s="10" t="s">
        <v>185</v>
      </c>
      <c r="H3" s="9" t="s">
        <v>181</v>
      </c>
      <c r="I3" s="10" t="s">
        <v>183</v>
      </c>
      <c r="L3" s="9" t="s">
        <v>181</v>
      </c>
      <c r="M3" s="10" t="s">
        <v>185</v>
      </c>
      <c r="O3" s="26" t="s">
        <v>222</v>
      </c>
      <c r="P3" s="26" t="s">
        <v>223</v>
      </c>
    </row>
    <row r="4" spans="5:16" x14ac:dyDescent="0.25">
      <c r="E4" s="22" t="s">
        <v>60</v>
      </c>
      <c r="F4" s="34">
        <v>8</v>
      </c>
      <c r="H4" s="22" t="s">
        <v>60</v>
      </c>
      <c r="I4" s="12">
        <v>111500</v>
      </c>
      <c r="L4" s="28" t="s">
        <v>76</v>
      </c>
      <c r="M4" s="10">
        <v>5</v>
      </c>
      <c r="O4" s="28" t="s">
        <v>76</v>
      </c>
      <c r="P4" s="10">
        <f>M4</f>
        <v>5</v>
      </c>
    </row>
    <row r="5" spans="5:16" x14ac:dyDescent="0.25">
      <c r="E5" s="13" t="s">
        <v>47</v>
      </c>
      <c r="F5" s="10">
        <v>3</v>
      </c>
      <c r="H5" s="22" t="s">
        <v>50</v>
      </c>
      <c r="I5" s="12">
        <v>109300</v>
      </c>
      <c r="L5" s="28" t="s">
        <v>53</v>
      </c>
      <c r="M5" s="10">
        <v>6</v>
      </c>
      <c r="O5" s="28" t="s">
        <v>53</v>
      </c>
      <c r="P5" s="10">
        <f>M5</f>
        <v>6</v>
      </c>
    </row>
    <row r="6" spans="5:16" x14ac:dyDescent="0.25">
      <c r="E6" s="13" t="s">
        <v>61</v>
      </c>
      <c r="F6" s="10">
        <v>5</v>
      </c>
      <c r="H6" s="22" t="s">
        <v>45</v>
      </c>
      <c r="I6" s="12">
        <v>172400</v>
      </c>
      <c r="L6" s="28" t="s">
        <v>72</v>
      </c>
      <c r="M6" s="10">
        <v>1</v>
      </c>
      <c r="O6" s="28" t="s">
        <v>72</v>
      </c>
      <c r="P6" s="10">
        <f>M6</f>
        <v>1</v>
      </c>
    </row>
    <row r="7" spans="5:16" x14ac:dyDescent="0.25">
      <c r="E7" s="22" t="s">
        <v>50</v>
      </c>
      <c r="F7" s="34">
        <v>7</v>
      </c>
      <c r="H7" s="22" t="s">
        <v>56</v>
      </c>
      <c r="I7" s="12">
        <v>86600</v>
      </c>
      <c r="L7" s="28" t="s">
        <v>57</v>
      </c>
      <c r="M7" s="10">
        <v>6</v>
      </c>
      <c r="O7" s="28" t="s">
        <v>57</v>
      </c>
      <c r="P7" s="10">
        <f>M7</f>
        <v>6</v>
      </c>
    </row>
    <row r="8" spans="5:16" x14ac:dyDescent="0.25">
      <c r="E8" s="13" t="s">
        <v>47</v>
      </c>
      <c r="F8" s="10">
        <v>2</v>
      </c>
      <c r="H8" s="11" t="s">
        <v>182</v>
      </c>
      <c r="I8" s="12">
        <v>479800</v>
      </c>
      <c r="L8" s="28" t="s">
        <v>79</v>
      </c>
      <c r="M8" s="10">
        <v>6</v>
      </c>
      <c r="O8" s="28" t="s">
        <v>79</v>
      </c>
      <c r="P8" s="10">
        <f>M8+M9</f>
        <v>7</v>
      </c>
    </row>
    <row r="9" spans="5:16" x14ac:dyDescent="0.25">
      <c r="E9" s="13" t="s">
        <v>61</v>
      </c>
      <c r="F9" s="10">
        <v>1</v>
      </c>
      <c r="L9" s="28" t="s">
        <v>166</v>
      </c>
      <c r="M9" s="10">
        <v>1</v>
      </c>
      <c r="O9" s="28" t="s">
        <v>62</v>
      </c>
      <c r="P9" s="10">
        <f>M10</f>
        <v>4</v>
      </c>
    </row>
    <row r="10" spans="5:16" x14ac:dyDescent="0.25">
      <c r="E10" s="13" t="s">
        <v>66</v>
      </c>
      <c r="F10" s="10">
        <v>4</v>
      </c>
      <c r="H10" s="9" t="s">
        <v>181</v>
      </c>
      <c r="I10" s="10" t="s">
        <v>184</v>
      </c>
      <c r="L10" s="28" t="s">
        <v>62</v>
      </c>
      <c r="M10" s="10">
        <v>4</v>
      </c>
      <c r="O10" s="28" t="s">
        <v>68</v>
      </c>
      <c r="P10" s="10">
        <f>M11</f>
        <v>6</v>
      </c>
    </row>
    <row r="11" spans="5:16" x14ac:dyDescent="0.25">
      <c r="E11" s="22" t="s">
        <v>45</v>
      </c>
      <c r="F11" s="34">
        <v>11</v>
      </c>
      <c r="H11" s="22" t="s">
        <v>60</v>
      </c>
      <c r="I11" s="12">
        <v>47300000</v>
      </c>
      <c r="L11" s="28" t="s">
        <v>68</v>
      </c>
      <c r="M11" s="10">
        <v>6</v>
      </c>
      <c r="O11" s="27" t="s">
        <v>226</v>
      </c>
      <c r="P11" s="26">
        <f>SUM(P4:P10)</f>
        <v>35</v>
      </c>
    </row>
    <row r="12" spans="5:16" x14ac:dyDescent="0.25">
      <c r="E12" s="13" t="s">
        <v>47</v>
      </c>
      <c r="F12" s="10">
        <v>4</v>
      </c>
      <c r="H12" s="22" t="s">
        <v>50</v>
      </c>
      <c r="I12" s="12">
        <v>51200000</v>
      </c>
      <c r="L12" s="11" t="s">
        <v>182</v>
      </c>
      <c r="M12" s="10">
        <v>35</v>
      </c>
    </row>
    <row r="13" spans="5:16" x14ac:dyDescent="0.25">
      <c r="E13" s="13" t="s">
        <v>61</v>
      </c>
      <c r="F13" s="10">
        <v>1</v>
      </c>
      <c r="H13" s="22" t="s">
        <v>45</v>
      </c>
      <c r="I13" s="12">
        <v>78700000</v>
      </c>
    </row>
    <row r="14" spans="5:16" x14ac:dyDescent="0.25">
      <c r="E14" s="13" t="s">
        <v>66</v>
      </c>
      <c r="F14" s="10">
        <v>6</v>
      </c>
      <c r="H14" s="22" t="s">
        <v>56</v>
      </c>
      <c r="I14" s="12">
        <v>53500000</v>
      </c>
      <c r="L14" s="9" t="s">
        <v>181</v>
      </c>
      <c r="M14" s="10" t="s">
        <v>185</v>
      </c>
      <c r="O14" s="26" t="s">
        <v>180</v>
      </c>
      <c r="P14" s="26" t="s">
        <v>224</v>
      </c>
    </row>
    <row r="15" spans="5:16" x14ac:dyDescent="0.25">
      <c r="E15" s="22" t="s">
        <v>56</v>
      </c>
      <c r="F15" s="34">
        <v>9</v>
      </c>
      <c r="H15" s="11" t="s">
        <v>182</v>
      </c>
      <c r="I15" s="12">
        <v>230700000</v>
      </c>
      <c r="L15" s="24" t="s">
        <v>48</v>
      </c>
      <c r="M15" s="10">
        <v>18</v>
      </c>
      <c r="O15" s="24" t="s">
        <v>48</v>
      </c>
      <c r="P15" s="29">
        <f>M15/$M$19</f>
        <v>0.51428571428571423</v>
      </c>
    </row>
    <row r="16" spans="5:16" x14ac:dyDescent="0.25">
      <c r="E16" s="13" t="s">
        <v>47</v>
      </c>
      <c r="F16" s="10">
        <v>4</v>
      </c>
      <c r="L16" s="24" t="s">
        <v>69</v>
      </c>
      <c r="M16" s="10">
        <v>5</v>
      </c>
      <c r="O16" s="24" t="s">
        <v>69</v>
      </c>
      <c r="P16" s="29">
        <f>M16/$M$19</f>
        <v>0.14285714285714285</v>
      </c>
    </row>
    <row r="17" spans="5:16" x14ac:dyDescent="0.25">
      <c r="E17" s="13" t="s">
        <v>61</v>
      </c>
      <c r="F17" s="10">
        <v>5</v>
      </c>
      <c r="H17" s="9" t="s">
        <v>181</v>
      </c>
      <c r="I17" s="10" t="s">
        <v>185</v>
      </c>
      <c r="L17" s="24" t="s">
        <v>63</v>
      </c>
      <c r="M17" s="10">
        <v>6</v>
      </c>
      <c r="O17" s="24" t="s">
        <v>63</v>
      </c>
      <c r="P17" s="29">
        <f>M17/$M$19</f>
        <v>0.17142857142857143</v>
      </c>
    </row>
    <row r="18" spans="5:16" x14ac:dyDescent="0.25">
      <c r="E18" s="11" t="s">
        <v>182</v>
      </c>
      <c r="F18" s="10">
        <v>35</v>
      </c>
      <c r="H18" s="11" t="s">
        <v>47</v>
      </c>
      <c r="I18" s="10">
        <v>13</v>
      </c>
      <c r="L18" s="24" t="s">
        <v>80</v>
      </c>
      <c r="M18" s="10">
        <v>6</v>
      </c>
      <c r="O18" s="24" t="s">
        <v>80</v>
      </c>
      <c r="P18" s="29">
        <f>M18/$M$19</f>
        <v>0.17142857142857143</v>
      </c>
    </row>
    <row r="19" spans="5:16" x14ac:dyDescent="0.25">
      <c r="H19" s="11" t="s">
        <v>61</v>
      </c>
      <c r="I19" s="10">
        <v>12</v>
      </c>
      <c r="L19" s="11" t="s">
        <v>182</v>
      </c>
      <c r="M19" s="10">
        <v>35</v>
      </c>
      <c r="O19" s="31" t="s">
        <v>225</v>
      </c>
      <c r="P19" s="30">
        <f>$M$15/$M$19</f>
        <v>0.51428571428571423</v>
      </c>
    </row>
    <row r="20" spans="5:16" x14ac:dyDescent="0.25">
      <c r="H20" s="11" t="s">
        <v>66</v>
      </c>
      <c r="I20" s="10">
        <v>10</v>
      </c>
      <c r="O20" s="32" t="s">
        <v>228</v>
      </c>
      <c r="P20" s="33">
        <f>SUM(M16:M18)/M19</f>
        <v>0.48571428571428571</v>
      </c>
    </row>
    <row r="21" spans="5:16" x14ac:dyDescent="0.25">
      <c r="H21" s="11" t="s">
        <v>182</v>
      </c>
      <c r="I21" s="10">
        <v>35</v>
      </c>
    </row>
    <row r="23" spans="5:16" x14ac:dyDescent="0.25">
      <c r="H23" s="9" t="s">
        <v>181</v>
      </c>
      <c r="I23" s="10" t="s">
        <v>227</v>
      </c>
      <c r="J23" s="10" t="s">
        <v>185</v>
      </c>
    </row>
    <row r="24" spans="5:16" x14ac:dyDescent="0.25">
      <c r="H24" s="11" t="s">
        <v>45</v>
      </c>
      <c r="I24" s="12">
        <v>15672.727272727272</v>
      </c>
      <c r="J24" s="10">
        <v>11</v>
      </c>
    </row>
    <row r="25" spans="5:16" x14ac:dyDescent="0.25">
      <c r="H25" s="11" t="s">
        <v>50</v>
      </c>
      <c r="I25" s="12">
        <v>15614.285714285714</v>
      </c>
      <c r="J25" s="10">
        <v>7</v>
      </c>
    </row>
    <row r="26" spans="5:16" x14ac:dyDescent="0.25">
      <c r="H26" s="11" t="s">
        <v>60</v>
      </c>
      <c r="I26" s="12">
        <v>13937.5</v>
      </c>
      <c r="J26" s="10">
        <v>8</v>
      </c>
    </row>
    <row r="27" spans="5:16" x14ac:dyDescent="0.25">
      <c r="H27" s="11" t="s">
        <v>56</v>
      </c>
      <c r="I27" s="12">
        <v>10825</v>
      </c>
      <c r="J27" s="10">
        <v>9</v>
      </c>
    </row>
    <row r="28" spans="5:16" x14ac:dyDescent="0.25">
      <c r="H28" s="11" t="s">
        <v>182</v>
      </c>
      <c r="I28" s="12">
        <v>14111.764705882353</v>
      </c>
      <c r="J28" s="10">
        <v>35</v>
      </c>
    </row>
    <row r="37" spans="12:12" x14ac:dyDescent="0.25">
      <c r="L37" s="4"/>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F687C-1985-4ED3-8FCD-99689E992F72}">
  <dimension ref="A1:T34"/>
  <sheetViews>
    <sheetView showGridLines="0" tabSelected="1" zoomScale="85" zoomScaleNormal="85" workbookViewId="0">
      <selection sqref="A1:T1"/>
    </sheetView>
  </sheetViews>
  <sheetFormatPr defaultRowHeight="15" x14ac:dyDescent="0.25"/>
  <cols>
    <col min="2" max="2" width="13.42578125" bestFit="1" customWidth="1"/>
    <col min="3" max="3" width="18.28515625" customWidth="1"/>
    <col min="4" max="4" width="17.85546875" bestFit="1" customWidth="1"/>
    <col min="5" max="5" width="30.7109375" bestFit="1" customWidth="1"/>
  </cols>
  <sheetData>
    <row r="1" spans="1:20" ht="27" thickBot="1" x14ac:dyDescent="0.45">
      <c r="A1" s="35" t="s">
        <v>220</v>
      </c>
      <c r="B1" s="36"/>
      <c r="C1" s="36"/>
      <c r="D1" s="36"/>
      <c r="E1" s="36"/>
      <c r="F1" s="36"/>
      <c r="G1" s="36"/>
      <c r="H1" s="36"/>
      <c r="I1" s="36"/>
      <c r="J1" s="36"/>
      <c r="K1" s="36"/>
      <c r="L1" s="36"/>
      <c r="M1" s="36"/>
      <c r="N1" s="36"/>
      <c r="O1" s="36"/>
      <c r="P1" s="36"/>
      <c r="Q1" s="36"/>
      <c r="R1" s="36"/>
      <c r="S1" s="36"/>
      <c r="T1" s="37"/>
    </row>
    <row r="2" spans="1:20" x14ac:dyDescent="0.25">
      <c r="A2" s="14"/>
      <c r="B2" s="15"/>
      <c r="C2" s="15"/>
      <c r="D2" s="15"/>
      <c r="E2" s="15"/>
      <c r="F2" s="15"/>
      <c r="G2" s="15"/>
      <c r="H2" s="15"/>
      <c r="I2" s="15"/>
      <c r="J2" s="15"/>
      <c r="K2" s="15"/>
      <c r="L2" s="15"/>
      <c r="M2" s="15"/>
      <c r="N2" s="15"/>
      <c r="O2" s="15"/>
      <c r="P2" s="15"/>
      <c r="Q2" s="15"/>
      <c r="R2" s="15"/>
      <c r="S2" s="15"/>
      <c r="T2" s="16"/>
    </row>
    <row r="3" spans="1:20" x14ac:dyDescent="0.25">
      <c r="A3" s="17"/>
      <c r="B3" s="23"/>
      <c r="C3" s="23"/>
      <c r="D3" s="23"/>
      <c r="E3" s="23"/>
      <c r="F3" s="23"/>
      <c r="G3" s="23"/>
      <c r="H3" s="23"/>
      <c r="I3" s="23"/>
      <c r="J3" s="23"/>
      <c r="K3" s="23"/>
      <c r="L3" s="23"/>
      <c r="M3" s="23"/>
      <c r="N3" s="23"/>
      <c r="O3" s="23"/>
      <c r="P3" s="23"/>
      <c r="Q3" s="23"/>
      <c r="R3" s="23"/>
      <c r="S3" s="23"/>
      <c r="T3" s="18"/>
    </row>
    <row r="4" spans="1:20" x14ac:dyDescent="0.25">
      <c r="A4" s="17"/>
      <c r="B4" s="23"/>
      <c r="C4" s="23"/>
      <c r="D4" s="23"/>
      <c r="E4" s="23"/>
      <c r="F4" s="23"/>
      <c r="G4" s="23"/>
      <c r="H4" s="23"/>
      <c r="I4" s="23"/>
      <c r="J4" s="23"/>
      <c r="K4" s="23"/>
      <c r="L4" s="23"/>
      <c r="M4" s="23"/>
      <c r="N4" s="23"/>
      <c r="O4" s="23"/>
      <c r="P4" s="23"/>
      <c r="Q4" s="23"/>
      <c r="R4" s="23"/>
      <c r="S4" s="23"/>
      <c r="T4" s="18"/>
    </row>
    <row r="5" spans="1:20" x14ac:dyDescent="0.25">
      <c r="A5" s="17"/>
      <c r="B5" s="23"/>
      <c r="C5" s="23"/>
      <c r="D5" s="23"/>
      <c r="E5" s="23"/>
      <c r="F5" s="23"/>
      <c r="G5" s="23"/>
      <c r="H5" s="23"/>
      <c r="I5" s="23"/>
      <c r="J5" s="23"/>
      <c r="K5" s="23"/>
      <c r="L5" s="23"/>
      <c r="M5" s="23"/>
      <c r="N5" s="23"/>
      <c r="O5" s="23"/>
      <c r="P5" s="23"/>
      <c r="Q5" s="23"/>
      <c r="R5" s="23"/>
      <c r="S5" s="23"/>
      <c r="T5" s="18"/>
    </row>
    <row r="6" spans="1:20" x14ac:dyDescent="0.25">
      <c r="A6" s="17"/>
      <c r="B6" s="23"/>
      <c r="C6" s="23"/>
      <c r="D6" s="23"/>
      <c r="E6" s="23"/>
      <c r="F6" s="23"/>
      <c r="G6" s="23"/>
      <c r="H6" s="23"/>
      <c r="I6" s="23"/>
      <c r="J6" s="23"/>
      <c r="K6" s="23"/>
      <c r="L6" s="23"/>
      <c r="M6" s="23"/>
      <c r="N6" s="23"/>
      <c r="O6" s="23"/>
      <c r="P6" s="23"/>
      <c r="Q6" s="23"/>
      <c r="R6" s="23"/>
      <c r="S6" s="23"/>
      <c r="T6" s="18"/>
    </row>
    <row r="7" spans="1:20" x14ac:dyDescent="0.25">
      <c r="A7" s="17"/>
      <c r="B7" s="23"/>
      <c r="C7" s="23"/>
      <c r="D7" s="23"/>
      <c r="E7" s="23"/>
      <c r="F7" s="23"/>
      <c r="G7" s="23"/>
      <c r="H7" s="23"/>
      <c r="I7" s="23"/>
      <c r="J7" s="23"/>
      <c r="K7" s="23"/>
      <c r="L7" s="23"/>
      <c r="M7" s="23"/>
      <c r="N7" s="23"/>
      <c r="O7" s="23"/>
      <c r="P7" s="23"/>
      <c r="Q7" s="23"/>
      <c r="R7" s="23"/>
      <c r="S7" s="23"/>
      <c r="T7" s="18"/>
    </row>
    <row r="8" spans="1:20" x14ac:dyDescent="0.25">
      <c r="A8" s="17"/>
      <c r="B8" s="23"/>
      <c r="C8" s="23"/>
      <c r="D8" s="23"/>
      <c r="E8" s="23"/>
      <c r="F8" s="23"/>
      <c r="G8" s="23"/>
      <c r="H8" s="23"/>
      <c r="I8" s="23"/>
      <c r="J8" s="23"/>
      <c r="K8" s="23"/>
      <c r="L8" s="23"/>
      <c r="M8" s="23"/>
      <c r="N8" s="23"/>
      <c r="O8" s="23"/>
      <c r="P8" s="23"/>
      <c r="Q8" s="23"/>
      <c r="R8" s="23"/>
      <c r="S8" s="23"/>
      <c r="T8" s="18"/>
    </row>
    <row r="9" spans="1:20" x14ac:dyDescent="0.25">
      <c r="A9" s="17"/>
      <c r="B9" s="23"/>
      <c r="C9" s="23"/>
      <c r="D9" s="23"/>
      <c r="E9" s="23"/>
      <c r="F9" s="23"/>
      <c r="G9" s="23"/>
      <c r="H9" s="23"/>
      <c r="I9" s="23"/>
      <c r="J9" s="23"/>
      <c r="K9" s="23"/>
      <c r="L9" s="23"/>
      <c r="M9" s="23"/>
      <c r="N9" s="23"/>
      <c r="O9" s="23"/>
      <c r="P9" s="23"/>
      <c r="Q9" s="23"/>
      <c r="R9" s="23"/>
      <c r="S9" s="23"/>
      <c r="T9" s="18"/>
    </row>
    <row r="10" spans="1:20" x14ac:dyDescent="0.25">
      <c r="A10" s="17"/>
      <c r="B10" s="23"/>
      <c r="C10" s="23"/>
      <c r="D10" s="23"/>
      <c r="E10" s="23"/>
      <c r="F10" s="23"/>
      <c r="G10" s="23"/>
      <c r="H10" s="23"/>
      <c r="I10" s="23"/>
      <c r="J10" s="23"/>
      <c r="K10" s="23"/>
      <c r="L10" s="23"/>
      <c r="M10" s="23"/>
      <c r="N10" s="23"/>
      <c r="O10" s="23"/>
      <c r="P10" s="23"/>
      <c r="Q10" s="23"/>
      <c r="R10" s="23"/>
      <c r="S10" s="23"/>
      <c r="T10" s="18"/>
    </row>
    <row r="11" spans="1:20" x14ac:dyDescent="0.25">
      <c r="A11" s="17"/>
      <c r="B11" s="23"/>
      <c r="C11" s="23"/>
      <c r="D11" s="23"/>
      <c r="E11" s="23"/>
      <c r="F11" s="23"/>
      <c r="G11" s="23"/>
      <c r="H11" s="23"/>
      <c r="I11" s="23"/>
      <c r="J11" s="23"/>
      <c r="K11" s="23"/>
      <c r="L11" s="23"/>
      <c r="M11" s="23"/>
      <c r="N11" s="23"/>
      <c r="O11" s="23"/>
      <c r="P11" s="23"/>
      <c r="Q11" s="23"/>
      <c r="R11" s="23"/>
      <c r="S11" s="23"/>
      <c r="T11" s="18"/>
    </row>
    <row r="12" spans="1:20" x14ac:dyDescent="0.25">
      <c r="A12" s="17"/>
      <c r="B12" s="23"/>
      <c r="C12" s="23"/>
      <c r="D12" s="23"/>
      <c r="E12" s="23"/>
      <c r="F12" s="23"/>
      <c r="G12" s="23"/>
      <c r="H12" s="23"/>
      <c r="I12" s="23"/>
      <c r="J12" s="23"/>
      <c r="K12" s="23"/>
      <c r="L12" s="23"/>
      <c r="M12" s="23"/>
      <c r="N12" s="23"/>
      <c r="O12" s="23"/>
      <c r="P12" s="23"/>
      <c r="Q12" s="23"/>
      <c r="R12" s="23"/>
      <c r="S12" s="23"/>
      <c r="T12" s="18"/>
    </row>
    <row r="13" spans="1:20" x14ac:dyDescent="0.25">
      <c r="A13" s="17"/>
      <c r="B13" s="23"/>
      <c r="C13" s="23"/>
      <c r="D13" s="23"/>
      <c r="E13" s="23"/>
      <c r="F13" s="23"/>
      <c r="G13" s="23"/>
      <c r="H13" s="23"/>
      <c r="I13" s="23"/>
      <c r="J13" s="23"/>
      <c r="K13" s="23"/>
      <c r="L13" s="23"/>
      <c r="M13" s="23"/>
      <c r="N13" s="23"/>
      <c r="O13" s="23"/>
      <c r="P13" s="23"/>
      <c r="Q13" s="23"/>
      <c r="R13" s="23"/>
      <c r="S13" s="23"/>
      <c r="T13" s="18"/>
    </row>
    <row r="14" spans="1:20" x14ac:dyDescent="0.25">
      <c r="A14" s="17"/>
      <c r="B14" s="23"/>
      <c r="C14" s="23"/>
      <c r="D14" s="23"/>
      <c r="E14" s="23"/>
      <c r="F14" s="23"/>
      <c r="G14" s="23"/>
      <c r="H14" s="23"/>
      <c r="I14" s="23"/>
      <c r="J14" s="23"/>
      <c r="K14" s="23"/>
      <c r="L14" s="23"/>
      <c r="M14" s="23"/>
      <c r="N14" s="23"/>
      <c r="O14" s="23"/>
      <c r="P14" s="23"/>
      <c r="Q14" s="23"/>
      <c r="R14" s="23"/>
      <c r="S14" s="23"/>
      <c r="T14" s="18"/>
    </row>
    <row r="15" spans="1:20" x14ac:dyDescent="0.25">
      <c r="A15" s="17"/>
      <c r="B15" s="23"/>
      <c r="C15" s="23"/>
      <c r="D15" s="23"/>
      <c r="E15" s="23"/>
      <c r="F15" s="23"/>
      <c r="G15" s="23"/>
      <c r="H15" s="23"/>
      <c r="I15" s="23"/>
      <c r="J15" s="23"/>
      <c r="K15" s="23"/>
      <c r="L15" s="23"/>
      <c r="M15" s="23"/>
      <c r="N15" s="23"/>
      <c r="O15" s="23"/>
      <c r="P15" s="23"/>
      <c r="Q15" s="23"/>
      <c r="R15" s="23"/>
      <c r="S15" s="23"/>
      <c r="T15" s="18"/>
    </row>
    <row r="16" spans="1:20" x14ac:dyDescent="0.25">
      <c r="A16" s="17"/>
      <c r="B16" s="23"/>
      <c r="C16" s="23"/>
      <c r="D16" s="23"/>
      <c r="E16" s="23"/>
      <c r="F16" s="23"/>
      <c r="G16" s="23"/>
      <c r="H16" s="23"/>
      <c r="I16" s="23"/>
      <c r="J16" s="23"/>
      <c r="K16" s="23"/>
      <c r="L16" s="23"/>
      <c r="M16" s="23"/>
      <c r="N16" s="23"/>
      <c r="O16" s="23"/>
      <c r="P16" s="23"/>
      <c r="Q16" s="23"/>
      <c r="R16" s="23"/>
      <c r="S16" s="23"/>
      <c r="T16" s="18"/>
    </row>
    <row r="17" spans="1:20" x14ac:dyDescent="0.25">
      <c r="A17" s="17"/>
      <c r="B17" s="23"/>
      <c r="C17" s="23"/>
      <c r="D17" s="23"/>
      <c r="E17" s="23"/>
      <c r="F17" s="23"/>
      <c r="G17" s="23"/>
      <c r="H17" s="23"/>
      <c r="I17" s="23"/>
      <c r="J17" s="23"/>
      <c r="K17" s="23"/>
      <c r="L17" s="23"/>
      <c r="M17" s="23"/>
      <c r="N17" s="23"/>
      <c r="O17" s="23"/>
      <c r="P17" s="23"/>
      <c r="Q17" s="23"/>
      <c r="R17" s="23"/>
      <c r="S17" s="23"/>
      <c r="T17" s="18"/>
    </row>
    <row r="18" spans="1:20" x14ac:dyDescent="0.25">
      <c r="A18" s="17"/>
      <c r="B18" s="23"/>
      <c r="C18" s="23"/>
      <c r="D18" s="23"/>
      <c r="E18" s="23"/>
      <c r="F18" s="23"/>
      <c r="G18" s="23"/>
      <c r="H18" s="23"/>
      <c r="I18" s="23"/>
      <c r="J18" s="23"/>
      <c r="K18" s="23"/>
      <c r="L18" s="23"/>
      <c r="M18" s="23"/>
      <c r="N18" s="23"/>
      <c r="O18" s="23"/>
      <c r="P18" s="23"/>
      <c r="Q18" s="23"/>
      <c r="R18" s="23"/>
      <c r="S18" s="23"/>
      <c r="T18" s="18"/>
    </row>
    <row r="19" spans="1:20" x14ac:dyDescent="0.25">
      <c r="A19" s="17"/>
      <c r="B19" s="23"/>
      <c r="C19" s="23"/>
      <c r="D19" s="23"/>
      <c r="E19" s="23"/>
      <c r="F19" s="23"/>
      <c r="G19" s="23"/>
      <c r="H19" s="23"/>
      <c r="I19" s="23"/>
      <c r="J19" s="23"/>
      <c r="K19" s="23"/>
      <c r="L19" s="23"/>
      <c r="M19" s="23"/>
      <c r="N19" s="23"/>
      <c r="O19" s="23"/>
      <c r="P19" s="23"/>
      <c r="Q19" s="23"/>
      <c r="R19" s="23"/>
      <c r="S19" s="23"/>
      <c r="T19" s="18"/>
    </row>
    <row r="20" spans="1:20" x14ac:dyDescent="0.25">
      <c r="A20" s="17"/>
      <c r="B20" s="23"/>
      <c r="C20" s="23"/>
      <c r="D20" s="23"/>
      <c r="E20" s="23"/>
      <c r="F20" s="23"/>
      <c r="G20" s="23"/>
      <c r="H20" s="23"/>
      <c r="I20" s="23"/>
      <c r="J20" s="23"/>
      <c r="K20" s="23"/>
      <c r="L20" s="23"/>
      <c r="M20" s="23"/>
      <c r="N20" s="23"/>
      <c r="O20" s="23"/>
      <c r="P20" s="23"/>
      <c r="Q20" s="23"/>
      <c r="R20" s="23"/>
      <c r="S20" s="23"/>
      <c r="T20" s="18"/>
    </row>
    <row r="21" spans="1:20" x14ac:dyDescent="0.25">
      <c r="A21" s="17"/>
      <c r="B21" s="23"/>
      <c r="C21" s="23"/>
      <c r="D21" s="23"/>
      <c r="E21" s="23"/>
      <c r="F21" s="23"/>
      <c r="G21" s="23"/>
      <c r="H21" s="23"/>
      <c r="I21" s="23"/>
      <c r="J21" s="23"/>
      <c r="K21" s="23"/>
      <c r="L21" s="23"/>
      <c r="M21" s="23"/>
      <c r="N21" s="23"/>
      <c r="O21" s="23"/>
      <c r="P21" s="23"/>
      <c r="Q21" s="23"/>
      <c r="R21" s="23"/>
      <c r="S21" s="23"/>
      <c r="T21" s="18"/>
    </row>
    <row r="22" spans="1:20" x14ac:dyDescent="0.25">
      <c r="A22" s="17"/>
      <c r="B22" s="23"/>
      <c r="C22" s="23"/>
      <c r="D22" s="23"/>
      <c r="E22" s="23"/>
      <c r="F22" s="23"/>
      <c r="G22" s="23"/>
      <c r="H22" s="23"/>
      <c r="I22" s="23"/>
      <c r="J22" s="23"/>
      <c r="K22" s="23"/>
      <c r="L22" s="23"/>
      <c r="M22" s="23"/>
      <c r="N22" s="23"/>
      <c r="O22" s="23"/>
      <c r="P22" s="23"/>
      <c r="Q22" s="23"/>
      <c r="R22" s="23"/>
      <c r="S22" s="23"/>
      <c r="T22" s="18"/>
    </row>
    <row r="23" spans="1:20" x14ac:dyDescent="0.25">
      <c r="A23" s="17"/>
      <c r="B23" s="23"/>
      <c r="C23" s="23"/>
      <c r="D23" s="23"/>
      <c r="E23" s="23"/>
      <c r="F23" s="23"/>
      <c r="G23" s="23"/>
      <c r="H23" s="23"/>
      <c r="I23" s="23"/>
      <c r="J23" s="23"/>
      <c r="K23" s="23"/>
      <c r="L23" s="23"/>
      <c r="M23" s="23"/>
      <c r="N23" s="23"/>
      <c r="O23" s="23"/>
      <c r="P23" s="23"/>
      <c r="Q23" s="23"/>
      <c r="R23" s="23"/>
      <c r="S23" s="23"/>
      <c r="T23" s="18"/>
    </row>
    <row r="24" spans="1:20" x14ac:dyDescent="0.25">
      <c r="A24" s="17"/>
      <c r="B24" s="23"/>
      <c r="C24" s="23"/>
      <c r="D24" s="23"/>
      <c r="E24" s="23"/>
      <c r="F24" s="23"/>
      <c r="G24" s="23"/>
      <c r="H24" s="23"/>
      <c r="I24" s="23"/>
      <c r="J24" s="23"/>
      <c r="K24" s="23"/>
      <c r="L24" s="23"/>
      <c r="M24" s="23"/>
      <c r="N24" s="23"/>
      <c r="O24" s="23"/>
      <c r="P24" s="23"/>
      <c r="Q24" s="23"/>
      <c r="R24" s="23"/>
      <c r="S24" s="23"/>
      <c r="T24" s="18"/>
    </row>
    <row r="25" spans="1:20" x14ac:dyDescent="0.25">
      <c r="A25" s="17"/>
      <c r="B25" s="23"/>
      <c r="C25" s="23"/>
      <c r="D25" s="23"/>
      <c r="E25" s="23"/>
      <c r="F25" s="23"/>
      <c r="G25" s="23"/>
      <c r="H25" s="23"/>
      <c r="I25" s="23"/>
      <c r="J25" s="23"/>
      <c r="K25" s="23"/>
      <c r="L25" s="23"/>
      <c r="M25" s="23"/>
      <c r="N25" s="23"/>
      <c r="O25" s="23"/>
      <c r="P25" s="23"/>
      <c r="Q25" s="23"/>
      <c r="R25" s="23"/>
      <c r="S25" s="23"/>
      <c r="T25" s="18"/>
    </row>
    <row r="26" spans="1:20" x14ac:dyDescent="0.25">
      <c r="A26" s="17"/>
      <c r="B26" s="23"/>
      <c r="C26" s="23"/>
      <c r="D26" s="23"/>
      <c r="E26" s="23"/>
      <c r="F26" s="23"/>
      <c r="G26" s="23"/>
      <c r="H26" s="23"/>
      <c r="I26" s="23"/>
      <c r="J26" s="23"/>
      <c r="K26" s="23"/>
      <c r="L26" s="23"/>
      <c r="M26" s="23"/>
      <c r="N26" s="23"/>
      <c r="O26" s="23"/>
      <c r="P26" s="23"/>
      <c r="Q26" s="23"/>
      <c r="R26" s="23"/>
      <c r="S26" s="23"/>
      <c r="T26" s="18"/>
    </row>
    <row r="27" spans="1:20" x14ac:dyDescent="0.25">
      <c r="A27" s="17"/>
      <c r="B27" s="23"/>
      <c r="C27" s="23"/>
      <c r="D27" s="23"/>
      <c r="E27" s="23"/>
      <c r="F27" s="23"/>
      <c r="G27" s="23"/>
      <c r="H27" s="23"/>
      <c r="I27" s="23"/>
      <c r="J27" s="23"/>
      <c r="K27" s="23"/>
      <c r="L27" s="23"/>
      <c r="M27" s="23"/>
      <c r="N27" s="23"/>
      <c r="O27" s="23"/>
      <c r="P27" s="23"/>
      <c r="Q27" s="23"/>
      <c r="R27" s="23"/>
      <c r="S27" s="23"/>
      <c r="T27" s="18"/>
    </row>
    <row r="28" spans="1:20" x14ac:dyDescent="0.25">
      <c r="A28" s="17"/>
      <c r="B28" s="23"/>
      <c r="C28" s="23"/>
      <c r="D28" s="23"/>
      <c r="E28" s="23"/>
      <c r="F28" s="23"/>
      <c r="G28" s="23"/>
      <c r="H28" s="23"/>
      <c r="I28" s="23"/>
      <c r="J28" s="23"/>
      <c r="K28" s="23"/>
      <c r="L28" s="23"/>
      <c r="M28" s="23"/>
      <c r="N28" s="23"/>
      <c r="O28" s="23"/>
      <c r="P28" s="23"/>
      <c r="Q28" s="23"/>
      <c r="R28" s="23"/>
      <c r="S28" s="23"/>
      <c r="T28" s="18"/>
    </row>
    <row r="29" spans="1:20" x14ac:dyDescent="0.25">
      <c r="A29" s="17"/>
      <c r="B29" s="23"/>
      <c r="C29" s="23"/>
      <c r="D29" s="23"/>
      <c r="E29" s="23"/>
      <c r="F29" s="23"/>
      <c r="G29" s="23"/>
      <c r="H29" s="23"/>
      <c r="I29" s="23"/>
      <c r="J29" s="23"/>
      <c r="K29" s="23"/>
      <c r="L29" s="23"/>
      <c r="M29" s="23"/>
      <c r="N29" s="23"/>
      <c r="O29" s="23"/>
      <c r="P29" s="23"/>
      <c r="Q29" s="23"/>
      <c r="R29" s="23"/>
      <c r="S29" s="23"/>
      <c r="T29" s="18"/>
    </row>
    <row r="30" spans="1:20" x14ac:dyDescent="0.25">
      <c r="A30" s="17"/>
      <c r="B30" s="23"/>
      <c r="C30" s="23"/>
      <c r="D30" s="23"/>
      <c r="E30" s="23"/>
      <c r="F30" s="23"/>
      <c r="G30" s="23"/>
      <c r="H30" s="23"/>
      <c r="I30" s="23"/>
      <c r="J30" s="23"/>
      <c r="K30" s="23"/>
      <c r="L30" s="23"/>
      <c r="M30" s="23"/>
      <c r="N30" s="23"/>
      <c r="O30" s="23"/>
      <c r="P30" s="23"/>
      <c r="Q30" s="23"/>
      <c r="R30" s="23"/>
      <c r="S30" s="23"/>
      <c r="T30" s="18"/>
    </row>
    <row r="31" spans="1:20" x14ac:dyDescent="0.25">
      <c r="A31" s="17"/>
      <c r="B31" s="23"/>
      <c r="C31" s="23"/>
      <c r="D31" s="23"/>
      <c r="E31" s="23"/>
      <c r="F31" s="23"/>
      <c r="G31" s="23"/>
      <c r="H31" s="23"/>
      <c r="I31" s="23"/>
      <c r="J31" s="23"/>
      <c r="K31" s="23"/>
      <c r="L31" s="23"/>
      <c r="M31" s="23"/>
      <c r="N31" s="23"/>
      <c r="O31" s="23"/>
      <c r="P31" s="23"/>
      <c r="Q31" s="23"/>
      <c r="R31" s="23"/>
      <c r="S31" s="23"/>
      <c r="T31" s="18"/>
    </row>
    <row r="32" spans="1:20" x14ac:dyDescent="0.25">
      <c r="A32" s="17"/>
      <c r="B32" s="23"/>
      <c r="C32" s="23"/>
      <c r="D32" s="23"/>
      <c r="E32" s="23"/>
      <c r="F32" s="23"/>
      <c r="G32" s="23"/>
      <c r="H32" s="23"/>
      <c r="I32" s="23"/>
      <c r="J32" s="23"/>
      <c r="K32" s="23"/>
      <c r="L32" s="23"/>
      <c r="M32" s="23"/>
      <c r="N32" s="23"/>
      <c r="O32" s="23"/>
      <c r="P32" s="23"/>
      <c r="Q32" s="23"/>
      <c r="R32" s="23"/>
      <c r="S32" s="23"/>
      <c r="T32" s="18"/>
    </row>
    <row r="33" spans="1:20" x14ac:dyDescent="0.25">
      <c r="A33" s="17"/>
      <c r="B33" s="23"/>
      <c r="C33" s="23"/>
      <c r="D33" s="23"/>
      <c r="E33" s="23"/>
      <c r="F33" s="23"/>
      <c r="G33" s="23"/>
      <c r="H33" s="23"/>
      <c r="I33" s="23"/>
      <c r="J33" s="23"/>
      <c r="K33" s="23"/>
      <c r="L33" s="23"/>
      <c r="M33" s="23"/>
      <c r="N33" s="23"/>
      <c r="O33" s="23"/>
      <c r="P33" s="23"/>
      <c r="Q33" s="23"/>
      <c r="R33" s="23"/>
      <c r="S33" s="23"/>
      <c r="T33" s="18"/>
    </row>
    <row r="34" spans="1:20" ht="15.75" thickBot="1" x14ac:dyDescent="0.3">
      <c r="A34" s="19"/>
      <c r="B34" s="20"/>
      <c r="C34" s="20"/>
      <c r="D34" s="20"/>
      <c r="E34" s="20"/>
      <c r="F34" s="20"/>
      <c r="G34" s="20"/>
      <c r="H34" s="20"/>
      <c r="I34" s="20"/>
      <c r="J34" s="20"/>
      <c r="K34" s="20"/>
      <c r="L34" s="20"/>
      <c r="M34" s="20"/>
      <c r="N34" s="20"/>
      <c r="O34" s="20"/>
      <c r="P34" s="20"/>
      <c r="Q34" s="20"/>
      <c r="R34" s="20"/>
      <c r="S34" s="20"/>
      <c r="T34" s="21"/>
    </row>
  </sheetData>
  <mergeCells count="1">
    <mergeCell ref="A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Messy Data</vt:lpstr>
      <vt:lpstr>Cleaned Data</vt:lpstr>
      <vt:lpstr>Summary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Breanne Fried</dc:creator>
  <cp:lastModifiedBy>Roland Celeridad</cp:lastModifiedBy>
  <dcterms:created xsi:type="dcterms:W3CDTF">2026-02-18T19:17:02Z</dcterms:created>
  <dcterms:modified xsi:type="dcterms:W3CDTF">2026-07-13T00:13:11Z</dcterms:modified>
</cp:coreProperties>
</file>